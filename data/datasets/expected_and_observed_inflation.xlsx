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HAD\VKR\data\datasets\"/>
    </mc:Choice>
  </mc:AlternateContent>
  <xr:revisionPtr revIDLastSave="0" documentId="13_ncr:1_{4A5BAEFE-7219-4775-9CF6-F81B50F2EF17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Stage 1" sheetId="1" r:id="rId1"/>
    <sheet name="Stage 2" sheetId="2" r:id="rId2"/>
    <sheet name="Fin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C3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81" i="3"/>
  <c r="C81" i="3"/>
  <c r="B82" i="3"/>
  <c r="C82" i="3"/>
  <c r="B83" i="3"/>
  <c r="C83" i="3"/>
  <c r="B84" i="3"/>
  <c r="C84" i="3"/>
  <c r="B85" i="3"/>
  <c r="C85" i="3"/>
  <c r="B86" i="3"/>
  <c r="C86" i="3"/>
  <c r="B87" i="3"/>
  <c r="C87" i="3"/>
  <c r="B88" i="3"/>
  <c r="C88" i="3"/>
  <c r="C2" i="3"/>
  <c r="B2" i="3"/>
  <c r="B22" i="2"/>
  <c r="B21" i="2"/>
  <c r="B20" i="2"/>
  <c r="B19" i="2"/>
  <c r="C22" i="2"/>
  <c r="C21" i="2"/>
  <c r="C20" i="2"/>
  <c r="C19" i="2"/>
</calcChain>
</file>

<file path=xl/sharedStrings.xml><?xml version="1.0" encoding="utf-8"?>
<sst xmlns="http://schemas.openxmlformats.org/spreadsheetml/2006/main" count="8" uniqueCount="7">
  <si>
    <t>наблюдаемая инфляция (в %)</t>
  </si>
  <si>
    <t>ожидаемая инфляция (в %)</t>
  </si>
  <si>
    <t>date</t>
  </si>
  <si>
    <t>observed_year_inflation</t>
  </si>
  <si>
    <t>expected_year_inflation</t>
  </si>
  <si>
    <t>observed_month_inflation</t>
  </si>
  <si>
    <t>expected_month_inflation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</si>
</sst>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7" formatCode="_-* #,##0.0000_-;\-* #,##0.00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6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808080"/>
      </left>
      <right style="medium">
        <color rgb="FF808080"/>
      </right>
      <top/>
      <bottom style="thin">
        <color rgb="FFC0C0C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" fontId="3" fillId="0" borderId="1" applyProtection="0">
      <alignment horizontal="left" vertical="center" wrapText="1" shrinkToFit="1"/>
    </xf>
    <xf numFmtId="1" fontId="3" fillId="0" borderId="3" applyProtection="0">
      <alignment horizontal="right" vertical="center" wrapText="1" shrinkToFit="1"/>
    </xf>
    <xf numFmtId="1" fontId="3" fillId="0" borderId="4" applyProtection="0">
      <alignment horizontal="left" vertical="center" wrapText="1" shrinkToFit="1"/>
    </xf>
  </cellStyleXfs>
  <cellXfs count="11">
    <xf numFmtId="0" fontId="0" fillId="0" borderId="0" xfId="0"/>
    <xf numFmtId="1" fontId="4" fillId="0" borderId="2" xfId="2" applyFont="1" applyBorder="1">
      <alignment horizontal="left" vertical="center" wrapText="1" shrinkToFit="1"/>
    </xf>
    <xf numFmtId="1" fontId="5" fillId="0" borderId="2" xfId="3" applyFont="1" applyBorder="1">
      <alignment horizontal="right" vertical="center" wrapText="1" shrinkToFit="1"/>
    </xf>
    <xf numFmtId="164" fontId="5" fillId="0" borderId="2" xfId="3" applyNumberFormat="1" applyFont="1" applyBorder="1">
      <alignment horizontal="right" vertical="center" wrapText="1" shrinkToFit="1"/>
    </xf>
    <xf numFmtId="164" fontId="5" fillId="0" borderId="2" xfId="4" applyNumberFormat="1" applyFont="1" applyBorder="1" applyAlignment="1">
      <alignment horizontal="right" vertical="center" wrapText="1" shrinkToFit="1"/>
    </xf>
    <xf numFmtId="164" fontId="5" fillId="0" borderId="5" xfId="3" applyNumberFormat="1" applyFont="1" applyBorder="1">
      <alignment horizontal="right" vertical="center" wrapText="1" shrinkToFit="1"/>
    </xf>
    <xf numFmtId="17" fontId="4" fillId="0" borderId="2" xfId="0" applyNumberFormat="1" applyFont="1" applyBorder="1" applyAlignment="1">
      <alignment horizontal="right" vertical="center" textRotation="90" wrapText="1"/>
    </xf>
    <xf numFmtId="0" fontId="2" fillId="0" borderId="6" xfId="0" applyFont="1" applyBorder="1" applyAlignment="1">
      <alignment horizontal="center"/>
    </xf>
    <xf numFmtId="14" fontId="0" fillId="0" borderId="6" xfId="0" applyNumberFormat="1" applyBorder="1"/>
    <xf numFmtId="43" fontId="0" fillId="0" borderId="6" xfId="1" applyFont="1" applyBorder="1"/>
    <xf numFmtId="167" fontId="0" fillId="0" borderId="6" xfId="1" applyNumberFormat="1" applyFont="1" applyBorder="1"/>
  </cellXfs>
  <cellStyles count="5">
    <cellStyle name="s13" xfId="2" xr:uid="{7C8FE4B3-BEE7-41DC-9E17-75DE27342247}"/>
    <cellStyle name="s16" xfId="3" xr:uid="{3AFBC3D4-8995-4090-A0CE-E3ADBDD1A1AB}"/>
    <cellStyle name="s19" xfId="4" xr:uid="{0A72975D-4952-4E0C-8664-8B7110849CA2}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5"/>
  <sheetViews>
    <sheetView topLeftCell="A77" workbookViewId="0">
      <selection activeCell="A20" sqref="A20:B85"/>
    </sheetView>
  </sheetViews>
  <sheetFormatPr defaultRowHeight="14.5" x14ac:dyDescent="0.35"/>
  <sheetData>
    <row r="1" spans="1:3" ht="40" x14ac:dyDescent="0.35">
      <c r="A1" s="1" t="s">
        <v>0</v>
      </c>
      <c r="B1" s="1" t="s">
        <v>1</v>
      </c>
    </row>
    <row r="2" spans="1:3" x14ac:dyDescent="0.35">
      <c r="A2" s="2"/>
      <c r="B2" s="2"/>
      <c r="C2" s="6"/>
    </row>
    <row r="3" spans="1:3" ht="28.5" x14ac:dyDescent="0.35">
      <c r="A3" s="3">
        <v>10.0527</v>
      </c>
      <c r="B3" s="3">
        <v>9.8308999999999997</v>
      </c>
      <c r="C3" s="6">
        <v>43405</v>
      </c>
    </row>
    <row r="4" spans="1:3" ht="28" x14ac:dyDescent="0.35">
      <c r="A4" s="3">
        <v>10.205299999999999</v>
      </c>
      <c r="B4" s="3">
        <v>10.2363</v>
      </c>
      <c r="C4" s="6">
        <v>43435</v>
      </c>
    </row>
    <row r="5" spans="1:3" ht="28.5" x14ac:dyDescent="0.35">
      <c r="A5" s="4">
        <v>10.071400000000001</v>
      </c>
      <c r="B5" s="4">
        <v>10.363200000000001</v>
      </c>
      <c r="C5" s="6">
        <v>43466</v>
      </c>
    </row>
    <row r="6" spans="1:3" ht="31" x14ac:dyDescent="0.35">
      <c r="A6" s="3">
        <v>10.5671</v>
      </c>
      <c r="B6" s="3">
        <v>10.1363</v>
      </c>
      <c r="C6" s="6">
        <v>43497</v>
      </c>
    </row>
    <row r="7" spans="1:3" ht="30" x14ac:dyDescent="0.35">
      <c r="A7" s="3">
        <v>10.0129</v>
      </c>
      <c r="B7" s="3">
        <v>9.1405999999999992</v>
      </c>
      <c r="C7" s="6">
        <v>43525</v>
      </c>
    </row>
    <row r="8" spans="1:3" ht="28.5" x14ac:dyDescent="0.35">
      <c r="A8" s="3">
        <v>10.548299999999999</v>
      </c>
      <c r="B8" s="3">
        <v>9.39</v>
      </c>
      <c r="C8" s="6">
        <v>43556</v>
      </c>
    </row>
    <row r="9" spans="1:3" ht="29.5" x14ac:dyDescent="0.35">
      <c r="A9" s="3">
        <v>10.4213</v>
      </c>
      <c r="B9" s="3">
        <v>9.2638999999999996</v>
      </c>
      <c r="C9" s="6">
        <v>43586</v>
      </c>
    </row>
    <row r="10" spans="1:3" ht="29.5" x14ac:dyDescent="0.35">
      <c r="A10" s="3">
        <v>10.2392</v>
      </c>
      <c r="B10" s="3">
        <v>9.4291999999999998</v>
      </c>
      <c r="C10" s="6">
        <v>43617</v>
      </c>
    </row>
    <row r="11" spans="1:3" ht="29.5" x14ac:dyDescent="0.35">
      <c r="A11" s="3">
        <v>9.9042999999999992</v>
      </c>
      <c r="B11" s="3">
        <v>9.3712</v>
      </c>
      <c r="C11" s="6">
        <v>43647</v>
      </c>
    </row>
    <row r="12" spans="1:3" ht="27.5" x14ac:dyDescent="0.35">
      <c r="A12" s="3">
        <v>10.0266</v>
      </c>
      <c r="B12" s="3">
        <v>9.1104000000000003</v>
      </c>
      <c r="C12" s="6">
        <v>43678</v>
      </c>
    </row>
    <row r="13" spans="1:3" ht="28" x14ac:dyDescent="0.35">
      <c r="A13" s="3">
        <v>9.8666999999999998</v>
      </c>
      <c r="B13" s="3">
        <v>8.8940999999999999</v>
      </c>
      <c r="C13" s="6">
        <v>43709</v>
      </c>
    </row>
    <row r="14" spans="1:3" ht="27" x14ac:dyDescent="0.35">
      <c r="A14" s="3">
        <v>9.3618000000000006</v>
      </c>
      <c r="B14" s="3">
        <v>8.6121999999999996</v>
      </c>
      <c r="C14" s="6">
        <v>43739</v>
      </c>
    </row>
    <row r="15" spans="1:3" ht="28.5" x14ac:dyDescent="0.35">
      <c r="A15" s="3">
        <v>8.6797000000000004</v>
      </c>
      <c r="B15" s="3">
        <v>8.2566000000000006</v>
      </c>
      <c r="C15" s="6">
        <v>43770</v>
      </c>
    </row>
    <row r="16" spans="1:3" ht="28" x14ac:dyDescent="0.35">
      <c r="A16" s="3">
        <v>9.3826999999999998</v>
      </c>
      <c r="B16" s="3">
        <v>9.0219000000000005</v>
      </c>
      <c r="C16" s="6">
        <v>43800</v>
      </c>
    </row>
    <row r="17" spans="1:3" ht="28.5" x14ac:dyDescent="0.35">
      <c r="A17" s="3">
        <v>8.5657999999999994</v>
      </c>
      <c r="B17" s="3">
        <v>8.2593999999999994</v>
      </c>
      <c r="C17" s="6">
        <v>43831</v>
      </c>
    </row>
    <row r="18" spans="1:3" ht="31" x14ac:dyDescent="0.35">
      <c r="A18" s="3">
        <v>8.7466000000000008</v>
      </c>
      <c r="B18" s="3">
        <v>7.9343000000000004</v>
      </c>
      <c r="C18" s="6">
        <v>43862</v>
      </c>
    </row>
    <row r="19" spans="1:3" ht="30" x14ac:dyDescent="0.35">
      <c r="A19" s="3">
        <v>8.3108000000000004</v>
      </c>
      <c r="B19" s="3">
        <v>7.8880999999999997</v>
      </c>
      <c r="C19" s="6">
        <v>43891</v>
      </c>
    </row>
    <row r="20" spans="1:3" ht="27.5" x14ac:dyDescent="0.35">
      <c r="A20" s="3">
        <v>9.1900999999999993</v>
      </c>
      <c r="B20" s="3">
        <v>8.8231000000000002</v>
      </c>
      <c r="C20" s="6">
        <v>44044</v>
      </c>
    </row>
    <row r="21" spans="1:3" ht="28" x14ac:dyDescent="0.35">
      <c r="A21" s="3">
        <v>9.4192999999999998</v>
      </c>
      <c r="B21" s="3">
        <v>8.9478000000000009</v>
      </c>
      <c r="C21" s="6">
        <v>44075</v>
      </c>
    </row>
    <row r="22" spans="1:3" ht="27" x14ac:dyDescent="0.35">
      <c r="A22" s="3">
        <v>9.6140000000000008</v>
      </c>
      <c r="B22" s="3">
        <v>9.6679999999999993</v>
      </c>
      <c r="C22" s="6">
        <v>44105</v>
      </c>
    </row>
    <row r="23" spans="1:3" ht="28.5" x14ac:dyDescent="0.35">
      <c r="A23" s="3">
        <v>10.7342</v>
      </c>
      <c r="B23" s="3">
        <v>10.120699999999999</v>
      </c>
      <c r="C23" s="6">
        <v>44136</v>
      </c>
    </row>
    <row r="24" spans="1:3" ht="28" x14ac:dyDescent="0.35">
      <c r="A24" s="3">
        <v>11.954499999999999</v>
      </c>
      <c r="B24" s="3">
        <v>11.507</v>
      </c>
      <c r="C24" s="6">
        <v>44166</v>
      </c>
    </row>
    <row r="25" spans="1:3" ht="28.5" x14ac:dyDescent="0.35">
      <c r="A25" s="3">
        <v>12.821300000000001</v>
      </c>
      <c r="B25" s="3">
        <v>10.483599999999999</v>
      </c>
      <c r="C25" s="6">
        <v>44197</v>
      </c>
    </row>
    <row r="26" spans="1:3" ht="31" x14ac:dyDescent="0.35">
      <c r="A26" s="3">
        <v>12.2852</v>
      </c>
      <c r="B26" s="3">
        <v>9.8635999999999999</v>
      </c>
      <c r="C26" s="6">
        <v>44228</v>
      </c>
    </row>
    <row r="27" spans="1:3" ht="30" x14ac:dyDescent="0.35">
      <c r="A27" s="3">
        <v>12.6584</v>
      </c>
      <c r="B27" s="3">
        <v>10.071400000000001</v>
      </c>
      <c r="C27" s="6">
        <v>44256</v>
      </c>
    </row>
    <row r="28" spans="1:3" ht="28.5" x14ac:dyDescent="0.35">
      <c r="A28" s="3">
        <v>14.5488</v>
      </c>
      <c r="B28" s="3">
        <v>11.879</v>
      </c>
      <c r="C28" s="6">
        <v>44287</v>
      </c>
    </row>
    <row r="29" spans="1:3" ht="29.5" x14ac:dyDescent="0.35">
      <c r="A29" s="3">
        <v>14.806800000000001</v>
      </c>
      <c r="B29" s="3">
        <v>11.3279</v>
      </c>
      <c r="C29" s="6">
        <v>44317</v>
      </c>
    </row>
    <row r="30" spans="1:3" ht="29.5" x14ac:dyDescent="0.35">
      <c r="A30" s="3">
        <v>14.932399999999999</v>
      </c>
      <c r="B30" s="3">
        <v>11.913600000000001</v>
      </c>
      <c r="C30" s="6">
        <v>44348</v>
      </c>
    </row>
    <row r="31" spans="1:3" ht="29.5" x14ac:dyDescent="0.35">
      <c r="A31" s="3">
        <v>16.5198</v>
      </c>
      <c r="B31" s="3">
        <v>13.399699999999999</v>
      </c>
      <c r="C31" s="6">
        <v>44378</v>
      </c>
    </row>
    <row r="32" spans="1:3" ht="27.5" x14ac:dyDescent="0.35">
      <c r="A32" s="3">
        <v>16.4937</v>
      </c>
      <c r="B32" s="3">
        <v>12.4946</v>
      </c>
      <c r="C32" s="6">
        <v>44409</v>
      </c>
    </row>
    <row r="33" spans="1:3" ht="28" x14ac:dyDescent="0.35">
      <c r="A33" s="3">
        <v>15.602</v>
      </c>
      <c r="B33" s="3">
        <v>12.3028</v>
      </c>
      <c r="C33" s="6">
        <v>44440</v>
      </c>
    </row>
    <row r="34" spans="1:3" ht="27" x14ac:dyDescent="0.35">
      <c r="A34" s="3">
        <v>16.2654</v>
      </c>
      <c r="B34" s="3">
        <v>13.622199999999999</v>
      </c>
      <c r="C34" s="6">
        <v>44470</v>
      </c>
    </row>
    <row r="35" spans="1:3" ht="28.5" x14ac:dyDescent="0.35">
      <c r="A35" s="3">
        <v>16.183499999999999</v>
      </c>
      <c r="B35" s="3">
        <v>13.4727</v>
      </c>
      <c r="C35" s="6">
        <v>44501</v>
      </c>
    </row>
    <row r="36" spans="1:3" ht="28" x14ac:dyDescent="0.35">
      <c r="A36" s="3">
        <v>17.668700000000001</v>
      </c>
      <c r="B36" s="3">
        <v>14.7674</v>
      </c>
      <c r="C36" s="6">
        <v>44531</v>
      </c>
    </row>
    <row r="37" spans="1:3" ht="28.5" x14ac:dyDescent="0.35">
      <c r="A37" s="3">
        <v>16.704999999999998</v>
      </c>
      <c r="B37" s="3">
        <v>13.7279</v>
      </c>
      <c r="C37" s="6">
        <v>44562</v>
      </c>
    </row>
    <row r="38" spans="1:3" ht="31" x14ac:dyDescent="0.35">
      <c r="A38" s="3">
        <v>17.144300000000001</v>
      </c>
      <c r="B38" s="3">
        <v>13.5372</v>
      </c>
      <c r="C38" s="6">
        <v>44593</v>
      </c>
    </row>
    <row r="39" spans="1:3" ht="30" x14ac:dyDescent="0.35">
      <c r="A39" s="3">
        <v>16.312999999999999</v>
      </c>
      <c r="B39" s="3">
        <v>18.334499999999998</v>
      </c>
      <c r="C39" s="6">
        <v>44621</v>
      </c>
    </row>
    <row r="40" spans="1:3" ht="28.5" x14ac:dyDescent="0.35">
      <c r="A40" s="3">
        <v>19.924199999999999</v>
      </c>
      <c r="B40" s="3">
        <v>12.5387</v>
      </c>
      <c r="C40" s="6">
        <v>44652</v>
      </c>
    </row>
    <row r="41" spans="1:3" ht="29.5" x14ac:dyDescent="0.35">
      <c r="A41" s="3">
        <v>25.092600000000001</v>
      </c>
      <c r="B41" s="3">
        <v>11.4809</v>
      </c>
      <c r="C41" s="6">
        <v>44682</v>
      </c>
    </row>
    <row r="42" spans="1:3" ht="29.5" x14ac:dyDescent="0.35">
      <c r="A42" s="3">
        <v>23.709499999999998</v>
      </c>
      <c r="B42" s="3">
        <v>12.3659</v>
      </c>
      <c r="C42" s="6">
        <v>44713</v>
      </c>
    </row>
    <row r="43" spans="1:3" ht="29.5" x14ac:dyDescent="0.35">
      <c r="A43" s="3">
        <v>22.177600000000002</v>
      </c>
      <c r="B43" s="3">
        <v>10.8218</v>
      </c>
      <c r="C43" s="6">
        <v>44743</v>
      </c>
    </row>
    <row r="44" spans="1:3" ht="27.5" x14ac:dyDescent="0.35">
      <c r="A44" s="3">
        <v>20.529399999999999</v>
      </c>
      <c r="B44" s="3">
        <v>11.9815</v>
      </c>
      <c r="C44" s="6">
        <v>44774</v>
      </c>
    </row>
    <row r="45" spans="1:3" ht="28" x14ac:dyDescent="0.35">
      <c r="A45" s="3">
        <v>21.515799999999999</v>
      </c>
      <c r="B45" s="3">
        <v>12.4884</v>
      </c>
      <c r="C45" s="6">
        <v>44805</v>
      </c>
    </row>
    <row r="46" spans="1:3" ht="27" x14ac:dyDescent="0.35">
      <c r="A46" s="3">
        <v>18.244399999999999</v>
      </c>
      <c r="B46" s="3">
        <v>12.8386</v>
      </c>
      <c r="C46" s="6">
        <v>44835</v>
      </c>
    </row>
    <row r="47" spans="1:3" ht="28.5" x14ac:dyDescent="0.35">
      <c r="A47" s="3">
        <v>17.630400000000002</v>
      </c>
      <c r="B47" s="3">
        <v>12.2257</v>
      </c>
      <c r="C47" s="6">
        <v>44866</v>
      </c>
    </row>
    <row r="48" spans="1:3" ht="28" x14ac:dyDescent="0.35">
      <c r="A48" s="3">
        <v>16.293500000000002</v>
      </c>
      <c r="B48" s="3">
        <v>12.1275</v>
      </c>
      <c r="C48" s="6">
        <v>44896</v>
      </c>
    </row>
    <row r="49" spans="1:3" ht="28.5" x14ac:dyDescent="0.35">
      <c r="A49" s="3">
        <v>14.850300000000001</v>
      </c>
      <c r="B49" s="3">
        <v>11.615399999999999</v>
      </c>
      <c r="C49" s="6">
        <v>44927</v>
      </c>
    </row>
    <row r="50" spans="1:3" ht="31" x14ac:dyDescent="0.35">
      <c r="A50" s="3">
        <v>15.013400000000001</v>
      </c>
      <c r="B50" s="3">
        <v>12.1595</v>
      </c>
      <c r="C50" s="6">
        <v>44958</v>
      </c>
    </row>
    <row r="51" spans="1:3" ht="30" x14ac:dyDescent="0.35">
      <c r="A51" s="3">
        <v>14.277200000000001</v>
      </c>
      <c r="B51" s="3">
        <v>10.713200000000001</v>
      </c>
      <c r="C51" s="6">
        <v>44986</v>
      </c>
    </row>
    <row r="52" spans="1:3" ht="28.5" x14ac:dyDescent="0.35">
      <c r="A52" s="3">
        <v>14.8917</v>
      </c>
      <c r="B52" s="3">
        <v>10.354200000000001</v>
      </c>
      <c r="C52" s="6">
        <v>45017</v>
      </c>
    </row>
    <row r="53" spans="1:3" ht="29.5" x14ac:dyDescent="0.35">
      <c r="A53" s="3">
        <v>14.1135</v>
      </c>
      <c r="B53" s="3">
        <v>10.805300000000001</v>
      </c>
      <c r="C53" s="6">
        <v>45047</v>
      </c>
    </row>
    <row r="54" spans="1:3" ht="29.5" x14ac:dyDescent="0.35">
      <c r="A54" s="3">
        <v>13.8695</v>
      </c>
      <c r="B54" s="3">
        <v>10.1907</v>
      </c>
      <c r="C54" s="6">
        <v>45078</v>
      </c>
    </row>
    <row r="55" spans="1:3" ht="29.5" x14ac:dyDescent="0.35">
      <c r="A55" s="3">
        <v>13.808999999999999</v>
      </c>
      <c r="B55" s="3">
        <v>11.0586</v>
      </c>
      <c r="C55" s="6">
        <v>45108</v>
      </c>
    </row>
    <row r="56" spans="1:3" ht="27.5" x14ac:dyDescent="0.35">
      <c r="A56" s="3">
        <v>13.4613</v>
      </c>
      <c r="B56" s="3">
        <v>11.519399999999999</v>
      </c>
      <c r="C56" s="6">
        <v>45139</v>
      </c>
    </row>
    <row r="57" spans="1:3" ht="28" x14ac:dyDescent="0.35">
      <c r="A57" s="3">
        <v>13.753500000000001</v>
      </c>
      <c r="B57" s="3">
        <v>11.720800000000001</v>
      </c>
      <c r="C57" s="6">
        <v>45170</v>
      </c>
    </row>
    <row r="58" spans="1:3" ht="27" x14ac:dyDescent="0.35">
      <c r="A58" s="3">
        <v>13.8604</v>
      </c>
      <c r="B58" s="3">
        <v>11.164999999999999</v>
      </c>
      <c r="C58" s="6">
        <v>45200</v>
      </c>
    </row>
    <row r="59" spans="1:3" ht="28.5" x14ac:dyDescent="0.35">
      <c r="A59" s="3">
        <v>15.119</v>
      </c>
      <c r="B59" s="3">
        <v>12.1777</v>
      </c>
      <c r="C59" s="6">
        <v>45231</v>
      </c>
    </row>
    <row r="60" spans="1:3" ht="28" x14ac:dyDescent="0.35">
      <c r="A60" s="3">
        <v>17.040099999999999</v>
      </c>
      <c r="B60" s="3">
        <v>14.2423</v>
      </c>
      <c r="C60" s="6">
        <v>45261</v>
      </c>
    </row>
    <row r="61" spans="1:3" ht="28.5" x14ac:dyDescent="0.35">
      <c r="A61" s="3">
        <v>16.337</v>
      </c>
      <c r="B61" s="3">
        <v>12.7157</v>
      </c>
      <c r="C61" s="6">
        <v>45292</v>
      </c>
    </row>
    <row r="62" spans="1:3" ht="31" x14ac:dyDescent="0.35">
      <c r="A62" s="3">
        <v>15.1904</v>
      </c>
      <c r="B62" s="3">
        <v>11.8985</v>
      </c>
      <c r="C62" s="6">
        <v>45323</v>
      </c>
    </row>
    <row r="63" spans="1:3" ht="30" x14ac:dyDescent="0.35">
      <c r="A63" s="3">
        <v>14.8499</v>
      </c>
      <c r="B63" s="3">
        <v>11.4659</v>
      </c>
      <c r="C63" s="6">
        <v>45352</v>
      </c>
    </row>
    <row r="64" spans="1:3" ht="28.5" x14ac:dyDescent="0.35">
      <c r="A64" s="3">
        <v>14.402699999999999</v>
      </c>
      <c r="B64" s="3">
        <v>10.9688</v>
      </c>
      <c r="C64" s="6">
        <v>45383</v>
      </c>
    </row>
    <row r="65" spans="1:3" ht="29.5" x14ac:dyDescent="0.35">
      <c r="A65" s="3">
        <v>14.0311</v>
      </c>
      <c r="B65" s="3">
        <v>11.7072</v>
      </c>
      <c r="C65" s="6">
        <v>45413</v>
      </c>
    </row>
    <row r="66" spans="1:3" ht="29.5" x14ac:dyDescent="0.35">
      <c r="A66" s="3">
        <v>14.4216</v>
      </c>
      <c r="B66" s="3">
        <v>11.9129</v>
      </c>
      <c r="C66" s="6">
        <v>45444</v>
      </c>
    </row>
    <row r="67" spans="1:3" ht="29.5" x14ac:dyDescent="0.35">
      <c r="A67" s="3">
        <v>14.2425</v>
      </c>
      <c r="B67" s="3">
        <v>12.414300000000001</v>
      </c>
      <c r="C67" s="6">
        <v>45474</v>
      </c>
    </row>
    <row r="68" spans="1:3" ht="27.5" x14ac:dyDescent="0.35">
      <c r="A68" s="3">
        <v>14.961499999999999</v>
      </c>
      <c r="B68" s="3">
        <v>12.8889</v>
      </c>
      <c r="C68" s="6">
        <v>45505</v>
      </c>
    </row>
    <row r="69" spans="1:3" ht="28" x14ac:dyDescent="0.35">
      <c r="A69" s="3">
        <v>14.389099999999999</v>
      </c>
      <c r="B69" s="3">
        <v>12.5205</v>
      </c>
      <c r="C69" s="6">
        <v>45536</v>
      </c>
    </row>
    <row r="70" spans="1:3" ht="27" x14ac:dyDescent="0.35">
      <c r="A70" s="3">
        <v>15.2845</v>
      </c>
      <c r="B70" s="3">
        <v>13.412699999999999</v>
      </c>
      <c r="C70" s="6">
        <v>45566</v>
      </c>
    </row>
    <row r="71" spans="1:3" ht="28.5" x14ac:dyDescent="0.35">
      <c r="A71" s="3">
        <v>15.2958</v>
      </c>
      <c r="B71" s="3">
        <v>13.3667</v>
      </c>
      <c r="C71" s="6">
        <v>45597</v>
      </c>
    </row>
    <row r="72" spans="1:3" ht="13.5" customHeight="1" x14ac:dyDescent="0.35">
      <c r="A72" s="3">
        <v>15.853199999999999</v>
      </c>
      <c r="B72" s="3">
        <v>13.9412</v>
      </c>
      <c r="C72" s="6">
        <v>45627</v>
      </c>
    </row>
    <row r="73" spans="1:3" ht="28.5" x14ac:dyDescent="0.35">
      <c r="A73" s="3">
        <v>16.446200000000001</v>
      </c>
      <c r="B73" s="3">
        <v>14.032999999999999</v>
      </c>
      <c r="C73" s="6">
        <v>45658</v>
      </c>
    </row>
    <row r="74" spans="1:3" ht="31" x14ac:dyDescent="0.35">
      <c r="A74" s="3">
        <v>16.505500000000001</v>
      </c>
      <c r="B74" s="3">
        <v>13.7157</v>
      </c>
      <c r="C74" s="6">
        <v>45689</v>
      </c>
    </row>
    <row r="75" spans="1:3" ht="30" x14ac:dyDescent="0.35">
      <c r="A75" s="5">
        <v>16.5151</v>
      </c>
      <c r="B75" s="5">
        <v>12.9262</v>
      </c>
      <c r="C75" s="6">
        <v>45717</v>
      </c>
    </row>
    <row r="76" spans="1:3" ht="28.5" x14ac:dyDescent="0.35">
      <c r="A76" s="3">
        <v>15.855700000000001</v>
      </c>
      <c r="B76" s="3">
        <v>13.101900000000001</v>
      </c>
      <c r="C76" s="6">
        <v>45748</v>
      </c>
    </row>
    <row r="77" spans="1:3" ht="29.5" x14ac:dyDescent="0.35">
      <c r="A77" s="3">
        <v>15.539400000000001</v>
      </c>
      <c r="B77" s="3">
        <v>13.4</v>
      </c>
      <c r="C77" s="6">
        <v>45778</v>
      </c>
    </row>
    <row r="78" spans="1:3" ht="29.5" x14ac:dyDescent="0.35">
      <c r="A78" s="3">
        <v>15.6556</v>
      </c>
      <c r="B78" s="3">
        <v>13.0497</v>
      </c>
      <c r="C78" s="6">
        <v>45809</v>
      </c>
    </row>
    <row r="79" spans="1:3" ht="29.5" x14ac:dyDescent="0.35">
      <c r="A79" s="3">
        <v>15.0053</v>
      </c>
      <c r="B79" s="3">
        <v>13.0479</v>
      </c>
      <c r="C79" s="6">
        <v>45839</v>
      </c>
    </row>
    <row r="80" spans="1:3" ht="27.5" x14ac:dyDescent="0.35">
      <c r="A80" s="3">
        <v>16.084499999999998</v>
      </c>
      <c r="B80" s="3">
        <v>13.4838</v>
      </c>
      <c r="C80" s="6">
        <v>45870</v>
      </c>
    </row>
    <row r="81" spans="1:3" ht="28" x14ac:dyDescent="0.35">
      <c r="A81" s="3">
        <v>14.702199999999999</v>
      </c>
      <c r="B81" s="3">
        <v>12.6022</v>
      </c>
      <c r="C81" s="6">
        <v>45901</v>
      </c>
    </row>
    <row r="82" spans="1:3" ht="27" x14ac:dyDescent="0.35">
      <c r="A82" s="3">
        <v>14.087400000000001</v>
      </c>
      <c r="B82" s="3">
        <v>12.606199999999999</v>
      </c>
      <c r="C82" s="6">
        <v>45931</v>
      </c>
    </row>
    <row r="83" spans="1:3" ht="28.5" x14ac:dyDescent="0.35">
      <c r="A83" s="3">
        <v>14.491</v>
      </c>
      <c r="B83" s="3">
        <v>13.2692</v>
      </c>
      <c r="C83" s="6">
        <v>45962</v>
      </c>
    </row>
    <row r="84" spans="1:3" ht="28" x14ac:dyDescent="0.35">
      <c r="A84" s="3">
        <v>14.537599999999999</v>
      </c>
      <c r="B84" s="3">
        <v>13.6944</v>
      </c>
      <c r="C84" s="6">
        <v>45992</v>
      </c>
    </row>
    <row r="85" spans="1:3" ht="28.5" x14ac:dyDescent="0.35">
      <c r="A85" s="3">
        <v>14.5</v>
      </c>
      <c r="B85" s="3">
        <v>13.663</v>
      </c>
      <c r="C85" s="6">
        <v>46023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1981-5EDC-4DC9-9ACD-3A211AE08264}">
  <dimension ref="A1:C88"/>
  <sheetViews>
    <sheetView workbookViewId="0">
      <selection activeCell="C7" sqref="C7"/>
    </sheetView>
  </sheetViews>
  <sheetFormatPr defaultRowHeight="14.5" x14ac:dyDescent="0.35"/>
  <cols>
    <col min="1" max="1" width="10.36328125" customWidth="1"/>
    <col min="2" max="2" width="21.36328125" bestFit="1" customWidth="1"/>
    <col min="3" max="3" width="21.1796875" bestFit="1" customWidth="1"/>
  </cols>
  <sheetData>
    <row r="1" spans="1:3" x14ac:dyDescent="0.35">
      <c r="A1" s="7" t="s">
        <v>2</v>
      </c>
      <c r="B1" s="7" t="s">
        <v>3</v>
      </c>
      <c r="C1" s="7" t="s">
        <v>4</v>
      </c>
    </row>
    <row r="2" spans="1:3" x14ac:dyDescent="0.35">
      <c r="A2" s="8">
        <v>43434</v>
      </c>
      <c r="B2" s="9">
        <v>10.0527</v>
      </c>
      <c r="C2" s="9">
        <v>9.8308999999999997</v>
      </c>
    </row>
    <row r="3" spans="1:3" x14ac:dyDescent="0.35">
      <c r="A3" s="8">
        <v>43465</v>
      </c>
      <c r="B3" s="9">
        <v>10.205299999999999</v>
      </c>
      <c r="C3" s="9">
        <v>10.2363</v>
      </c>
    </row>
    <row r="4" spans="1:3" x14ac:dyDescent="0.35">
      <c r="A4" s="8">
        <v>43496</v>
      </c>
      <c r="B4" s="9">
        <v>10.071400000000001</v>
      </c>
      <c r="C4" s="9">
        <v>10.363200000000001</v>
      </c>
    </row>
    <row r="5" spans="1:3" x14ac:dyDescent="0.35">
      <c r="A5" s="8">
        <v>43524</v>
      </c>
      <c r="B5" s="9">
        <v>10.5671</v>
      </c>
      <c r="C5" s="9">
        <v>10.1363</v>
      </c>
    </row>
    <row r="6" spans="1:3" x14ac:dyDescent="0.35">
      <c r="A6" s="8">
        <v>43555</v>
      </c>
      <c r="B6" s="9">
        <v>10.0129</v>
      </c>
      <c r="C6" s="9">
        <v>9.1405999999999992</v>
      </c>
    </row>
    <row r="7" spans="1:3" x14ac:dyDescent="0.35">
      <c r="A7" s="8">
        <v>43585</v>
      </c>
      <c r="B7" s="9">
        <v>10.548299999999999</v>
      </c>
      <c r="C7" s="9">
        <v>9.39</v>
      </c>
    </row>
    <row r="8" spans="1:3" x14ac:dyDescent="0.35">
      <c r="A8" s="8">
        <v>43616</v>
      </c>
      <c r="B8" s="9">
        <v>10.4213</v>
      </c>
      <c r="C8" s="9">
        <v>9.2638999999999996</v>
      </c>
    </row>
    <row r="9" spans="1:3" x14ac:dyDescent="0.35">
      <c r="A9" s="8">
        <v>43646</v>
      </c>
      <c r="B9" s="9">
        <v>10.2392</v>
      </c>
      <c r="C9" s="9">
        <v>9.4291999999999998</v>
      </c>
    </row>
    <row r="10" spans="1:3" x14ac:dyDescent="0.35">
      <c r="A10" s="8">
        <v>43677</v>
      </c>
      <c r="B10" s="9">
        <v>9.9042999999999992</v>
      </c>
      <c r="C10" s="9">
        <v>9.3712</v>
      </c>
    </row>
    <row r="11" spans="1:3" x14ac:dyDescent="0.35">
      <c r="A11" s="8">
        <v>43708</v>
      </c>
      <c r="B11" s="9">
        <v>10.0266</v>
      </c>
      <c r="C11" s="9">
        <v>9.1104000000000003</v>
      </c>
    </row>
    <row r="12" spans="1:3" x14ac:dyDescent="0.35">
      <c r="A12" s="8">
        <v>43738</v>
      </c>
      <c r="B12" s="9">
        <v>9.8666999999999998</v>
      </c>
      <c r="C12" s="9">
        <v>8.8940999999999999</v>
      </c>
    </row>
    <row r="13" spans="1:3" x14ac:dyDescent="0.35">
      <c r="A13" s="8">
        <v>43769</v>
      </c>
      <c r="B13" s="9">
        <v>9.3618000000000006</v>
      </c>
      <c r="C13" s="9">
        <v>8.6121999999999996</v>
      </c>
    </row>
    <row r="14" spans="1:3" x14ac:dyDescent="0.35">
      <c r="A14" s="8">
        <v>43799</v>
      </c>
      <c r="B14" s="9">
        <v>8.6797000000000004</v>
      </c>
      <c r="C14" s="9">
        <v>8.2566000000000006</v>
      </c>
    </row>
    <row r="15" spans="1:3" x14ac:dyDescent="0.35">
      <c r="A15" s="8">
        <v>43830</v>
      </c>
      <c r="B15" s="9">
        <v>9.3826999999999998</v>
      </c>
      <c r="C15" s="9">
        <v>9.0219000000000005</v>
      </c>
    </row>
    <row r="16" spans="1:3" x14ac:dyDescent="0.35">
      <c r="A16" s="8">
        <v>43861</v>
      </c>
      <c r="B16" s="9">
        <v>8.5657999999999994</v>
      </c>
      <c r="C16" s="9">
        <v>8.2593999999999994</v>
      </c>
    </row>
    <row r="17" spans="1:3" x14ac:dyDescent="0.35">
      <c r="A17" s="8">
        <v>43890</v>
      </c>
      <c r="B17" s="9">
        <v>8.7466000000000008</v>
      </c>
      <c r="C17" s="9">
        <v>7.9343000000000004</v>
      </c>
    </row>
    <row r="18" spans="1:3" x14ac:dyDescent="0.35">
      <c r="A18" s="8">
        <v>43921</v>
      </c>
      <c r="B18" s="9">
        <v>8.3108000000000004</v>
      </c>
      <c r="C18" s="9">
        <v>7.8880999999999997</v>
      </c>
    </row>
    <row r="19" spans="1:3" x14ac:dyDescent="0.35">
      <c r="A19" s="8">
        <v>43951</v>
      </c>
      <c r="B19" s="9">
        <f>B18</f>
        <v>8.3108000000000004</v>
      </c>
      <c r="C19" s="9">
        <f>C18</f>
        <v>7.8880999999999997</v>
      </c>
    </row>
    <row r="20" spans="1:3" x14ac:dyDescent="0.35">
      <c r="A20" s="8">
        <v>43982</v>
      </c>
      <c r="B20" s="9">
        <f>B19</f>
        <v>8.3108000000000004</v>
      </c>
      <c r="C20" s="9">
        <f>C19</f>
        <v>7.8880999999999997</v>
      </c>
    </row>
    <row r="21" spans="1:3" x14ac:dyDescent="0.35">
      <c r="A21" s="8">
        <v>44012</v>
      </c>
      <c r="B21" s="9">
        <f>B20</f>
        <v>8.3108000000000004</v>
      </c>
      <c r="C21" s="9">
        <f>C20</f>
        <v>7.8880999999999997</v>
      </c>
    </row>
    <row r="22" spans="1:3" x14ac:dyDescent="0.35">
      <c r="A22" s="8">
        <v>44043</v>
      </c>
      <c r="B22" s="9">
        <f>B21</f>
        <v>8.3108000000000004</v>
      </c>
      <c r="C22" s="9">
        <f>C21</f>
        <v>7.8880999999999997</v>
      </c>
    </row>
    <row r="23" spans="1:3" x14ac:dyDescent="0.35">
      <c r="A23" s="8">
        <v>44074</v>
      </c>
      <c r="B23" s="9">
        <v>9.1900999999999993</v>
      </c>
      <c r="C23" s="9">
        <v>8.8231000000000002</v>
      </c>
    </row>
    <row r="24" spans="1:3" x14ac:dyDescent="0.35">
      <c r="A24" s="8">
        <v>44104</v>
      </c>
      <c r="B24" s="9">
        <v>9.4192999999999998</v>
      </c>
      <c r="C24" s="9">
        <v>8.9478000000000009</v>
      </c>
    </row>
    <row r="25" spans="1:3" x14ac:dyDescent="0.35">
      <c r="A25" s="8">
        <v>44135</v>
      </c>
      <c r="B25" s="9">
        <v>9.6140000000000008</v>
      </c>
      <c r="C25" s="9">
        <v>9.6679999999999993</v>
      </c>
    </row>
    <row r="26" spans="1:3" x14ac:dyDescent="0.35">
      <c r="A26" s="8">
        <v>44165</v>
      </c>
      <c r="B26" s="9">
        <v>10.7342</v>
      </c>
      <c r="C26" s="9">
        <v>10.120699999999999</v>
      </c>
    </row>
    <row r="27" spans="1:3" x14ac:dyDescent="0.35">
      <c r="A27" s="8">
        <v>44196</v>
      </c>
      <c r="B27" s="9">
        <v>11.954499999999999</v>
      </c>
      <c r="C27" s="9">
        <v>11.507</v>
      </c>
    </row>
    <row r="28" spans="1:3" x14ac:dyDescent="0.35">
      <c r="A28" s="8">
        <v>44227</v>
      </c>
      <c r="B28" s="9">
        <v>12.821300000000001</v>
      </c>
      <c r="C28" s="9">
        <v>10.483599999999999</v>
      </c>
    </row>
    <row r="29" spans="1:3" x14ac:dyDescent="0.35">
      <c r="A29" s="8">
        <v>44255</v>
      </c>
      <c r="B29" s="9">
        <v>12.2852</v>
      </c>
      <c r="C29" s="9">
        <v>9.8635999999999999</v>
      </c>
    </row>
    <row r="30" spans="1:3" x14ac:dyDescent="0.35">
      <c r="A30" s="8">
        <v>44286</v>
      </c>
      <c r="B30" s="9">
        <v>12.6584</v>
      </c>
      <c r="C30" s="9">
        <v>10.071400000000001</v>
      </c>
    </row>
    <row r="31" spans="1:3" x14ac:dyDescent="0.35">
      <c r="A31" s="8">
        <v>44316</v>
      </c>
      <c r="B31" s="9">
        <v>14.5488</v>
      </c>
      <c r="C31" s="9">
        <v>11.879</v>
      </c>
    </row>
    <row r="32" spans="1:3" x14ac:dyDescent="0.35">
      <c r="A32" s="8">
        <v>44347</v>
      </c>
      <c r="B32" s="9">
        <v>14.806800000000001</v>
      </c>
      <c r="C32" s="9">
        <v>11.3279</v>
      </c>
    </row>
    <row r="33" spans="1:3" x14ac:dyDescent="0.35">
      <c r="A33" s="8">
        <v>44377</v>
      </c>
      <c r="B33" s="9">
        <v>14.932399999999999</v>
      </c>
      <c r="C33" s="9">
        <v>11.913600000000001</v>
      </c>
    </row>
    <row r="34" spans="1:3" x14ac:dyDescent="0.35">
      <c r="A34" s="8">
        <v>44408</v>
      </c>
      <c r="B34" s="9">
        <v>16.5198</v>
      </c>
      <c r="C34" s="9">
        <v>13.399699999999999</v>
      </c>
    </row>
    <row r="35" spans="1:3" x14ac:dyDescent="0.35">
      <c r="A35" s="8">
        <v>44439</v>
      </c>
      <c r="B35" s="9">
        <v>16.4937</v>
      </c>
      <c r="C35" s="9">
        <v>12.4946</v>
      </c>
    </row>
    <row r="36" spans="1:3" x14ac:dyDescent="0.35">
      <c r="A36" s="8">
        <v>44469</v>
      </c>
      <c r="B36" s="9">
        <v>15.602</v>
      </c>
      <c r="C36" s="9">
        <v>12.3028</v>
      </c>
    </row>
    <row r="37" spans="1:3" x14ac:dyDescent="0.35">
      <c r="A37" s="8">
        <v>44500</v>
      </c>
      <c r="B37" s="9">
        <v>16.2654</v>
      </c>
      <c r="C37" s="9">
        <v>13.622199999999999</v>
      </c>
    </row>
    <row r="38" spans="1:3" x14ac:dyDescent="0.35">
      <c r="A38" s="8">
        <v>44530</v>
      </c>
      <c r="B38" s="9">
        <v>16.183499999999999</v>
      </c>
      <c r="C38" s="9">
        <v>13.4727</v>
      </c>
    </row>
    <row r="39" spans="1:3" x14ac:dyDescent="0.35">
      <c r="A39" s="8">
        <v>44561</v>
      </c>
      <c r="B39" s="9">
        <v>17.668700000000001</v>
      </c>
      <c r="C39" s="9">
        <v>14.7674</v>
      </c>
    </row>
    <row r="40" spans="1:3" x14ac:dyDescent="0.35">
      <c r="A40" s="8">
        <v>44592</v>
      </c>
      <c r="B40" s="9">
        <v>16.704999999999998</v>
      </c>
      <c r="C40" s="9">
        <v>13.7279</v>
      </c>
    </row>
    <row r="41" spans="1:3" x14ac:dyDescent="0.35">
      <c r="A41" s="8">
        <v>44620</v>
      </c>
      <c r="B41" s="9">
        <v>17.144300000000001</v>
      </c>
      <c r="C41" s="9">
        <v>13.5372</v>
      </c>
    </row>
    <row r="42" spans="1:3" x14ac:dyDescent="0.35">
      <c r="A42" s="8">
        <v>44651</v>
      </c>
      <c r="B42" s="9">
        <v>16.312999999999999</v>
      </c>
      <c r="C42" s="9">
        <v>18.334499999999998</v>
      </c>
    </row>
    <row r="43" spans="1:3" x14ac:dyDescent="0.35">
      <c r="A43" s="8">
        <v>44681</v>
      </c>
      <c r="B43" s="9">
        <v>19.924199999999999</v>
      </c>
      <c r="C43" s="9">
        <v>12.5387</v>
      </c>
    </row>
    <row r="44" spans="1:3" x14ac:dyDescent="0.35">
      <c r="A44" s="8">
        <v>44712</v>
      </c>
      <c r="B44" s="9">
        <v>25.092600000000001</v>
      </c>
      <c r="C44" s="9">
        <v>11.4809</v>
      </c>
    </row>
    <row r="45" spans="1:3" x14ac:dyDescent="0.35">
      <c r="A45" s="8">
        <v>44742</v>
      </c>
      <c r="B45" s="9">
        <v>23.709499999999998</v>
      </c>
      <c r="C45" s="9">
        <v>12.3659</v>
      </c>
    </row>
    <row r="46" spans="1:3" x14ac:dyDescent="0.35">
      <c r="A46" s="8">
        <v>44773</v>
      </c>
      <c r="B46" s="9">
        <v>22.177600000000002</v>
      </c>
      <c r="C46" s="9">
        <v>10.8218</v>
      </c>
    </row>
    <row r="47" spans="1:3" x14ac:dyDescent="0.35">
      <c r="A47" s="8">
        <v>44804</v>
      </c>
      <c r="B47" s="9">
        <v>20.529399999999999</v>
      </c>
      <c r="C47" s="9">
        <v>11.9815</v>
      </c>
    </row>
    <row r="48" spans="1:3" x14ac:dyDescent="0.35">
      <c r="A48" s="8">
        <v>44834</v>
      </c>
      <c r="B48" s="9">
        <v>21.515799999999999</v>
      </c>
      <c r="C48" s="9">
        <v>12.4884</v>
      </c>
    </row>
    <row r="49" spans="1:3" x14ac:dyDescent="0.35">
      <c r="A49" s="8">
        <v>44865</v>
      </c>
      <c r="B49" s="9">
        <v>18.244399999999999</v>
      </c>
      <c r="C49" s="9">
        <v>12.8386</v>
      </c>
    </row>
    <row r="50" spans="1:3" x14ac:dyDescent="0.35">
      <c r="A50" s="8">
        <v>44895</v>
      </c>
      <c r="B50" s="9">
        <v>17.630400000000002</v>
      </c>
      <c r="C50" s="9">
        <v>12.2257</v>
      </c>
    </row>
    <row r="51" spans="1:3" x14ac:dyDescent="0.35">
      <c r="A51" s="8">
        <v>44926</v>
      </c>
      <c r="B51" s="9">
        <v>16.293500000000002</v>
      </c>
      <c r="C51" s="9">
        <v>12.1275</v>
      </c>
    </row>
    <row r="52" spans="1:3" x14ac:dyDescent="0.35">
      <c r="A52" s="8">
        <v>44957</v>
      </c>
      <c r="B52" s="9">
        <v>14.850300000000001</v>
      </c>
      <c r="C52" s="9">
        <v>11.615399999999999</v>
      </c>
    </row>
    <row r="53" spans="1:3" x14ac:dyDescent="0.35">
      <c r="A53" s="8">
        <v>44985</v>
      </c>
      <c r="B53" s="9">
        <v>15.013400000000001</v>
      </c>
      <c r="C53" s="9">
        <v>12.1595</v>
      </c>
    </row>
    <row r="54" spans="1:3" x14ac:dyDescent="0.35">
      <c r="A54" s="8">
        <v>45016</v>
      </c>
      <c r="B54" s="9">
        <v>14.277200000000001</v>
      </c>
      <c r="C54" s="9">
        <v>10.713200000000001</v>
      </c>
    </row>
    <row r="55" spans="1:3" x14ac:dyDescent="0.35">
      <c r="A55" s="8">
        <v>45046</v>
      </c>
      <c r="B55" s="9">
        <v>14.8917</v>
      </c>
      <c r="C55" s="9">
        <v>10.354200000000001</v>
      </c>
    </row>
    <row r="56" spans="1:3" x14ac:dyDescent="0.35">
      <c r="A56" s="8">
        <v>45077</v>
      </c>
      <c r="B56" s="9">
        <v>14.1135</v>
      </c>
      <c r="C56" s="9">
        <v>10.805300000000001</v>
      </c>
    </row>
    <row r="57" spans="1:3" x14ac:dyDescent="0.35">
      <c r="A57" s="8">
        <v>45107</v>
      </c>
      <c r="B57" s="9">
        <v>13.8695</v>
      </c>
      <c r="C57" s="9">
        <v>10.1907</v>
      </c>
    </row>
    <row r="58" spans="1:3" x14ac:dyDescent="0.35">
      <c r="A58" s="8">
        <v>45138</v>
      </c>
      <c r="B58" s="9">
        <v>13.808999999999999</v>
      </c>
      <c r="C58" s="9">
        <v>11.0586</v>
      </c>
    </row>
    <row r="59" spans="1:3" x14ac:dyDescent="0.35">
      <c r="A59" s="8">
        <v>45169</v>
      </c>
      <c r="B59" s="9">
        <v>13.4613</v>
      </c>
      <c r="C59" s="9">
        <v>11.519399999999999</v>
      </c>
    </row>
    <row r="60" spans="1:3" x14ac:dyDescent="0.35">
      <c r="A60" s="8">
        <v>45199</v>
      </c>
      <c r="B60" s="9">
        <v>13.753500000000001</v>
      </c>
      <c r="C60" s="9">
        <v>11.720800000000001</v>
      </c>
    </row>
    <row r="61" spans="1:3" x14ac:dyDescent="0.35">
      <c r="A61" s="8">
        <v>45230</v>
      </c>
      <c r="B61" s="9">
        <v>13.8604</v>
      </c>
      <c r="C61" s="9">
        <v>11.164999999999999</v>
      </c>
    </row>
    <row r="62" spans="1:3" x14ac:dyDescent="0.35">
      <c r="A62" s="8">
        <v>45260</v>
      </c>
      <c r="B62" s="9">
        <v>15.119</v>
      </c>
      <c r="C62" s="9">
        <v>12.1777</v>
      </c>
    </row>
    <row r="63" spans="1:3" x14ac:dyDescent="0.35">
      <c r="A63" s="8">
        <v>45291</v>
      </c>
      <c r="B63" s="9">
        <v>17.040099999999999</v>
      </c>
      <c r="C63" s="9">
        <v>14.2423</v>
      </c>
    </row>
    <row r="64" spans="1:3" x14ac:dyDescent="0.35">
      <c r="A64" s="8">
        <v>45322</v>
      </c>
      <c r="B64" s="9">
        <v>16.337</v>
      </c>
      <c r="C64" s="9">
        <v>12.7157</v>
      </c>
    </row>
    <row r="65" spans="1:3" x14ac:dyDescent="0.35">
      <c r="A65" s="8">
        <v>45351</v>
      </c>
      <c r="B65" s="9">
        <v>15.1904</v>
      </c>
      <c r="C65" s="9">
        <v>11.8985</v>
      </c>
    </row>
    <row r="66" spans="1:3" x14ac:dyDescent="0.35">
      <c r="A66" s="8">
        <v>45382</v>
      </c>
      <c r="B66" s="9">
        <v>14.8499</v>
      </c>
      <c r="C66" s="9">
        <v>11.4659</v>
      </c>
    </row>
    <row r="67" spans="1:3" x14ac:dyDescent="0.35">
      <c r="A67" s="8">
        <v>45412</v>
      </c>
      <c r="B67" s="9">
        <v>14.402699999999999</v>
      </c>
      <c r="C67" s="9">
        <v>10.9688</v>
      </c>
    </row>
    <row r="68" spans="1:3" x14ac:dyDescent="0.35">
      <c r="A68" s="8">
        <v>45443</v>
      </c>
      <c r="B68" s="9">
        <v>14.0311</v>
      </c>
      <c r="C68" s="9">
        <v>11.7072</v>
      </c>
    </row>
    <row r="69" spans="1:3" x14ac:dyDescent="0.35">
      <c r="A69" s="8">
        <v>45473</v>
      </c>
      <c r="B69" s="9">
        <v>14.4216</v>
      </c>
      <c r="C69" s="9">
        <v>11.9129</v>
      </c>
    </row>
    <row r="70" spans="1:3" x14ac:dyDescent="0.35">
      <c r="A70" s="8">
        <v>45504</v>
      </c>
      <c r="B70" s="9">
        <v>14.2425</v>
      </c>
      <c r="C70" s="9">
        <v>12.414300000000001</v>
      </c>
    </row>
    <row r="71" spans="1:3" x14ac:dyDescent="0.35">
      <c r="A71" s="8">
        <v>45535</v>
      </c>
      <c r="B71" s="9">
        <v>14.961499999999999</v>
      </c>
      <c r="C71" s="9">
        <v>12.8889</v>
      </c>
    </row>
    <row r="72" spans="1:3" x14ac:dyDescent="0.35">
      <c r="A72" s="8">
        <v>45565</v>
      </c>
      <c r="B72" s="9">
        <v>14.389099999999999</v>
      </c>
      <c r="C72" s="9">
        <v>12.5205</v>
      </c>
    </row>
    <row r="73" spans="1:3" x14ac:dyDescent="0.35">
      <c r="A73" s="8">
        <v>45596</v>
      </c>
      <c r="B73" s="9">
        <v>15.2845</v>
      </c>
      <c r="C73" s="9">
        <v>13.412699999999999</v>
      </c>
    </row>
    <row r="74" spans="1:3" x14ac:dyDescent="0.35">
      <c r="A74" s="8">
        <v>45626</v>
      </c>
      <c r="B74" s="9">
        <v>15.2958</v>
      </c>
      <c r="C74" s="9">
        <v>13.3667</v>
      </c>
    </row>
    <row r="75" spans="1:3" x14ac:dyDescent="0.35">
      <c r="A75" s="8">
        <v>45657</v>
      </c>
      <c r="B75" s="9">
        <v>15.853199999999999</v>
      </c>
      <c r="C75" s="9">
        <v>13.9412</v>
      </c>
    </row>
    <row r="76" spans="1:3" x14ac:dyDescent="0.35">
      <c r="A76" s="8">
        <v>45688</v>
      </c>
      <c r="B76" s="9">
        <v>16.446200000000001</v>
      </c>
      <c r="C76" s="9">
        <v>14.032999999999999</v>
      </c>
    </row>
    <row r="77" spans="1:3" x14ac:dyDescent="0.35">
      <c r="A77" s="8">
        <v>45716</v>
      </c>
      <c r="B77" s="9">
        <v>16.505500000000001</v>
      </c>
      <c r="C77" s="9">
        <v>13.7157</v>
      </c>
    </row>
    <row r="78" spans="1:3" x14ac:dyDescent="0.35">
      <c r="A78" s="8">
        <v>45747</v>
      </c>
      <c r="B78" s="9">
        <v>16.5151</v>
      </c>
      <c r="C78" s="9">
        <v>12.9262</v>
      </c>
    </row>
    <row r="79" spans="1:3" x14ac:dyDescent="0.35">
      <c r="A79" s="8">
        <v>45777</v>
      </c>
      <c r="B79" s="9">
        <v>15.855700000000001</v>
      </c>
      <c r="C79" s="9">
        <v>13.101900000000001</v>
      </c>
    </row>
    <row r="80" spans="1:3" x14ac:dyDescent="0.35">
      <c r="A80" s="8">
        <v>45808</v>
      </c>
      <c r="B80" s="9">
        <v>15.539400000000001</v>
      </c>
      <c r="C80" s="9">
        <v>13.4</v>
      </c>
    </row>
    <row r="81" spans="1:3" x14ac:dyDescent="0.35">
      <c r="A81" s="8">
        <v>45838</v>
      </c>
      <c r="B81" s="9">
        <v>15.6556</v>
      </c>
      <c r="C81" s="9">
        <v>13.0497</v>
      </c>
    </row>
    <row r="82" spans="1:3" x14ac:dyDescent="0.35">
      <c r="A82" s="8">
        <v>45869</v>
      </c>
      <c r="B82" s="9">
        <v>15.0053</v>
      </c>
      <c r="C82" s="9">
        <v>13.0479</v>
      </c>
    </row>
    <row r="83" spans="1:3" x14ac:dyDescent="0.35">
      <c r="A83" s="8">
        <v>45900</v>
      </c>
      <c r="B83" s="9">
        <v>16.084499999999998</v>
      </c>
      <c r="C83" s="9">
        <v>13.4838</v>
      </c>
    </row>
    <row r="84" spans="1:3" x14ac:dyDescent="0.35">
      <c r="A84" s="8">
        <v>45930</v>
      </c>
      <c r="B84" s="9">
        <v>14.702199999999999</v>
      </c>
      <c r="C84" s="9">
        <v>12.6022</v>
      </c>
    </row>
    <row r="85" spans="1:3" x14ac:dyDescent="0.35">
      <c r="A85" s="8">
        <v>45961</v>
      </c>
      <c r="B85" s="9">
        <v>14.087400000000001</v>
      </c>
      <c r="C85" s="9">
        <v>12.606199999999999</v>
      </c>
    </row>
    <row r="86" spans="1:3" x14ac:dyDescent="0.35">
      <c r="A86" s="8">
        <v>45991</v>
      </c>
      <c r="B86" s="9">
        <v>14.491</v>
      </c>
      <c r="C86" s="9">
        <v>13.2692</v>
      </c>
    </row>
    <row r="87" spans="1:3" x14ac:dyDescent="0.35">
      <c r="A87" s="8">
        <v>46022</v>
      </c>
      <c r="B87" s="9">
        <v>14.537599999999999</v>
      </c>
      <c r="C87" s="9">
        <v>13.6944</v>
      </c>
    </row>
    <row r="88" spans="1:3" x14ac:dyDescent="0.35">
      <c r="A88" s="8">
        <v>46053</v>
      </c>
      <c r="B88" s="9">
        <v>14.5</v>
      </c>
      <c r="C88" s="9">
        <v>13.663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ABE48-DDCD-49E0-9B43-327E28AFDB96}">
  <dimension ref="A1:C88"/>
  <sheetViews>
    <sheetView tabSelected="1" workbookViewId="0">
      <selection activeCell="C42" sqref="C42"/>
    </sheetView>
  </sheetViews>
  <sheetFormatPr defaultRowHeight="14.5" x14ac:dyDescent="0.35"/>
  <cols>
    <col min="1" max="1" width="9.90625" bestFit="1" customWidth="1"/>
    <col min="2" max="2" width="23.453125" bestFit="1" customWidth="1"/>
    <col min="3" max="3" width="23.36328125" bestFit="1" customWidth="1"/>
  </cols>
  <sheetData>
    <row r="1" spans="1:3" x14ac:dyDescent="0.35">
      <c r="A1" s="7" t="s">
        <v>2</v>
      </c>
      <c r="B1" s="7" t="s">
        <v>5</v>
      </c>
      <c r="C1" s="7" t="s">
        <v>6</v>
      </c>
    </row>
    <row r="2" spans="1:3" x14ac:dyDescent="0.35">
      <c r="A2" s="8">
        <v>43434</v>
      </c>
      <c r="B2" s="10">
        <f>(1+'Stage 2'!B2/100)^(1/12)-1</f>
        <v>8.0143741989422423E-3</v>
      </c>
      <c r="C2" s="10">
        <f>(1+'Stage 2'!C2/100)^(1/12)-1</f>
        <v>7.8449217619711575E-3</v>
      </c>
    </row>
    <row r="3" spans="1:3" x14ac:dyDescent="0.35">
      <c r="A3" s="8">
        <v>43465</v>
      </c>
      <c r="B3" s="10">
        <f>(1+'Stage 2'!B3/100)^(1/12)-1</f>
        <v>8.1307770079810382E-3</v>
      </c>
      <c r="C3" s="10">
        <f>(1+'Stage 2'!C3/100)^(1/12)-1</f>
        <v>8.1544056550058031E-3</v>
      </c>
    </row>
    <row r="4" spans="1:3" x14ac:dyDescent="0.35">
      <c r="A4" s="8">
        <v>43496</v>
      </c>
      <c r="B4" s="10">
        <f>(1+'Stage 2'!B4/100)^(1/12)-1</f>
        <v>8.0286464528573909E-3</v>
      </c>
      <c r="C4" s="10">
        <f>(1+'Stage 2'!C4/100)^(1/12)-1</f>
        <v>8.2510672077802383E-3</v>
      </c>
    </row>
    <row r="5" spans="1:3" x14ac:dyDescent="0.35">
      <c r="A5" s="8">
        <v>43524</v>
      </c>
      <c r="B5" s="10">
        <f>(1+'Stage 2'!B5/100)^(1/12)-1</f>
        <v>8.406167604495085E-3</v>
      </c>
      <c r="C5" s="10">
        <f>(1+'Stage 2'!C5/100)^(1/12)-1</f>
        <v>8.0781623325065777E-3</v>
      </c>
    </row>
    <row r="6" spans="1:3" x14ac:dyDescent="0.35">
      <c r="A6" s="8">
        <v>43555</v>
      </c>
      <c r="B6" s="10">
        <f>(1+'Stage 2'!B6/100)^(1/12)-1</f>
        <v>7.9839905558429791E-3</v>
      </c>
      <c r="C6" s="10">
        <f>(1+'Stage 2'!C6/100)^(1/12)-1</f>
        <v>7.3155264473689918E-3</v>
      </c>
    </row>
    <row r="7" spans="1:3" x14ac:dyDescent="0.35">
      <c r="A7" s="8">
        <v>43585</v>
      </c>
      <c r="B7" s="10">
        <f>(1+'Stage 2'!B7/100)^(1/12)-1</f>
        <v>8.3918780060365794E-3</v>
      </c>
      <c r="C7" s="10">
        <f>(1+'Stage 2'!C7/100)^(1/12)-1</f>
        <v>7.5071460615754315E-3</v>
      </c>
    </row>
    <row r="8" spans="1:3" x14ac:dyDescent="0.35">
      <c r="A8" s="8">
        <v>43616</v>
      </c>
      <c r="B8" s="10">
        <f>(1+'Stage 2'!B8/100)^(1/12)-1</f>
        <v>8.2952888152643123E-3</v>
      </c>
      <c r="C8" s="10">
        <f>(1+'Stage 2'!C8/100)^(1/12)-1</f>
        <v>7.4103107130816248E-3</v>
      </c>
    </row>
    <row r="9" spans="1:3" x14ac:dyDescent="0.35">
      <c r="A9" s="8">
        <v>43646</v>
      </c>
      <c r="B9" s="10">
        <f>(1+'Stage 2'!B9/100)^(1/12)-1</f>
        <v>8.1566157652608329E-3</v>
      </c>
      <c r="C9" s="10">
        <f>(1+'Stage 2'!C9/100)^(1/12)-1</f>
        <v>7.5372278750456267E-3</v>
      </c>
    </row>
    <row r="10" spans="1:3" x14ac:dyDescent="0.35">
      <c r="A10" s="8">
        <v>43677</v>
      </c>
      <c r="B10" s="10">
        <f>(1+'Stage 2'!B10/100)^(1/12)-1</f>
        <v>7.9010331476130347E-3</v>
      </c>
      <c r="C10" s="10">
        <f>(1+'Stage 2'!C10/100)^(1/12)-1</f>
        <v>7.4927155632773523E-3</v>
      </c>
    </row>
    <row r="11" spans="1:3" x14ac:dyDescent="0.35">
      <c r="A11" s="8">
        <v>43708</v>
      </c>
      <c r="B11" s="10">
        <f>(1+'Stage 2'!B11/100)^(1/12)-1</f>
        <v>7.9944503841451464E-3</v>
      </c>
      <c r="C11" s="10">
        <f>(1+'Stage 2'!C11/100)^(1/12)-1</f>
        <v>7.2922958716330477E-3</v>
      </c>
    </row>
    <row r="12" spans="1:3" x14ac:dyDescent="0.35">
      <c r="A12" s="8">
        <v>43738</v>
      </c>
      <c r="B12" s="10">
        <f>(1+'Stage 2'!B12/100)^(1/12)-1</f>
        <v>7.8722937333193244E-3</v>
      </c>
      <c r="C12" s="10">
        <f>(1+'Stage 2'!C12/100)^(1/12)-1</f>
        <v>7.1257401494744244E-3</v>
      </c>
    </row>
    <row r="13" spans="1:3" x14ac:dyDescent="0.35">
      <c r="A13" s="8">
        <v>43769</v>
      </c>
      <c r="B13" s="10">
        <f>(1+'Stage 2'!B13/100)^(1/12)-1</f>
        <v>7.4854994614421688E-3</v>
      </c>
      <c r="C13" s="10">
        <f>(1+'Stage 2'!C13/100)^(1/12)-1</f>
        <v>6.908215228850878E-3</v>
      </c>
    </row>
    <row r="14" spans="1:3" x14ac:dyDescent="0.35">
      <c r="A14" s="8">
        <v>43799</v>
      </c>
      <c r="B14" s="10">
        <f>(1+'Stage 2'!B14/100)^(1/12)-1</f>
        <v>6.9603479177802186E-3</v>
      </c>
      <c r="C14" s="10">
        <f>(1+'Stage 2'!C14/100)^(1/12)-1</f>
        <v>6.6330811684416346E-3</v>
      </c>
    </row>
    <row r="15" spans="1:3" x14ac:dyDescent="0.35">
      <c r="A15" s="8">
        <v>43830</v>
      </c>
      <c r="B15" s="10">
        <f>(1+'Stage 2'!B15/100)^(1/12)-1</f>
        <v>7.5015429997995486E-3</v>
      </c>
      <c r="C15" s="10">
        <f>(1+'Stage 2'!C15/100)^(1/12)-1</f>
        <v>7.2241855557373391E-3</v>
      </c>
    </row>
    <row r="16" spans="1:3" x14ac:dyDescent="0.35">
      <c r="A16" s="8">
        <v>43861</v>
      </c>
      <c r="B16" s="10">
        <f>(1+'Stage 2'!B16/100)^(1/12)-1</f>
        <v>6.8723616048738112E-3</v>
      </c>
      <c r="C16" s="10">
        <f>(1+'Stage 2'!C16/100)^(1/12)-1</f>
        <v>6.6352508123053155E-3</v>
      </c>
    </row>
    <row r="17" spans="1:3" x14ac:dyDescent="0.35">
      <c r="A17" s="8">
        <v>43890</v>
      </c>
      <c r="B17" s="10">
        <f>(1+'Stage 2'!B17/100)^(1/12)-1</f>
        <v>7.0119879269427976E-3</v>
      </c>
      <c r="C17" s="10">
        <f>(1+'Stage 2'!C17/100)^(1/12)-1</f>
        <v>6.382995264906377E-3</v>
      </c>
    </row>
    <row r="18" spans="1:3" x14ac:dyDescent="0.35">
      <c r="A18" s="8">
        <v>43921</v>
      </c>
      <c r="B18" s="10">
        <f>(1+'Stage 2'!B18/100)^(1/12)-1</f>
        <v>6.6750701381814714E-3</v>
      </c>
      <c r="C18" s="10">
        <f>(1+'Stage 2'!C18/100)^(1/12)-1</f>
        <v>6.3470906926819115E-3</v>
      </c>
    </row>
    <row r="19" spans="1:3" x14ac:dyDescent="0.35">
      <c r="A19" s="8">
        <v>43951</v>
      </c>
      <c r="B19" s="10">
        <f>(1+'Stage 2'!B19/100)^(1/12)-1</f>
        <v>6.6750701381814714E-3</v>
      </c>
      <c r="C19" s="10">
        <f>(1+'Stage 2'!C19/100)^(1/12)-1</f>
        <v>6.3470906926819115E-3</v>
      </c>
    </row>
    <row r="20" spans="1:3" x14ac:dyDescent="0.35">
      <c r="A20" s="8">
        <v>43982</v>
      </c>
      <c r="B20" s="10">
        <f>(1+'Stage 2'!B20/100)^(1/12)-1</f>
        <v>6.6750701381814714E-3</v>
      </c>
      <c r="C20" s="10">
        <f>(1+'Stage 2'!C20/100)^(1/12)-1</f>
        <v>6.3470906926819115E-3</v>
      </c>
    </row>
    <row r="21" spans="1:3" x14ac:dyDescent="0.35">
      <c r="A21" s="8">
        <v>44012</v>
      </c>
      <c r="B21" s="10">
        <f>(1+'Stage 2'!B21/100)^(1/12)-1</f>
        <v>6.6750701381814714E-3</v>
      </c>
      <c r="C21" s="10">
        <f>(1+'Stage 2'!C21/100)^(1/12)-1</f>
        <v>6.3470906926819115E-3</v>
      </c>
    </row>
    <row r="22" spans="1:3" x14ac:dyDescent="0.35">
      <c r="A22" s="8">
        <v>44043</v>
      </c>
      <c r="B22" s="10">
        <f>(1+'Stage 2'!B22/100)^(1/12)-1</f>
        <v>6.6750701381814714E-3</v>
      </c>
      <c r="C22" s="10">
        <f>(1+'Stage 2'!C22/100)^(1/12)-1</f>
        <v>6.3470906926819115E-3</v>
      </c>
    </row>
    <row r="23" spans="1:3" x14ac:dyDescent="0.35">
      <c r="A23" s="8">
        <v>44074</v>
      </c>
      <c r="B23" s="10">
        <f>(1+'Stage 2'!B23/100)^(1/12)-1</f>
        <v>7.3535903121761947E-3</v>
      </c>
      <c r="C23" s="10">
        <f>(1+'Stage 2'!C23/100)^(1/12)-1</f>
        <v>7.0710024845275221E-3</v>
      </c>
    </row>
    <row r="24" spans="1:3" x14ac:dyDescent="0.35">
      <c r="A24" s="8">
        <v>44104</v>
      </c>
      <c r="B24" s="10">
        <f>(1+'Stage 2'!B24/100)^(1/12)-1</f>
        <v>7.5296316148008025E-3</v>
      </c>
      <c r="C24" s="10">
        <f>(1+'Stage 2'!C24/100)^(1/12)-1</f>
        <v>7.1671186020321187E-3</v>
      </c>
    </row>
    <row r="25" spans="1:3" x14ac:dyDescent="0.35">
      <c r="A25" s="8">
        <v>44135</v>
      </c>
      <c r="B25" s="10">
        <f>(1+'Stage 2'!B25/100)^(1/12)-1</f>
        <v>7.6789092229412326E-3</v>
      </c>
      <c r="C25" s="10">
        <f>(1+'Stage 2'!C25/100)^(1/12)-1</f>
        <v>7.7202682787727017E-3</v>
      </c>
    </row>
    <row r="26" spans="1:3" x14ac:dyDescent="0.35">
      <c r="A26" s="8">
        <v>44165</v>
      </c>
      <c r="B26" s="10">
        <f>(1+'Stage 2'!B26/100)^(1/12)-1</f>
        <v>8.5330800280729591E-3</v>
      </c>
      <c r="C26" s="10">
        <f>(1+'Stage 2'!C26/100)^(1/12)-1</f>
        <v>8.0662626527832071E-3</v>
      </c>
    </row>
    <row r="27" spans="1:3" x14ac:dyDescent="0.35">
      <c r="A27" s="8">
        <v>44196</v>
      </c>
      <c r="B27" s="10">
        <f>(1+'Stage 2'!B27/100)^(1/12)-1</f>
        <v>9.4546111676980793E-3</v>
      </c>
      <c r="C27" s="10">
        <f>(1+'Stage 2'!C27/100)^(1/12)-1</f>
        <v>9.1177476476906882E-3</v>
      </c>
    </row>
    <row r="28" spans="1:3" x14ac:dyDescent="0.35">
      <c r="A28" s="8">
        <v>44227</v>
      </c>
      <c r="B28" s="10">
        <f>(1+'Stage 2'!B28/100)^(1/12)-1</f>
        <v>1.0103614043338149E-2</v>
      </c>
      <c r="C28" s="10">
        <f>(1+'Stage 2'!C28/100)^(1/12)-1</f>
        <v>8.3426834743012268E-3</v>
      </c>
    </row>
    <row r="29" spans="1:3" x14ac:dyDescent="0.35">
      <c r="A29" s="8">
        <v>44255</v>
      </c>
      <c r="B29" s="10">
        <f>(1+'Stage 2'!B29/100)^(1/12)-1</f>
        <v>9.7027592517673344E-3</v>
      </c>
      <c r="C29" s="10">
        <f>(1+'Stage 2'!C29/100)^(1/12)-1</f>
        <v>7.8699238580393072E-3</v>
      </c>
    </row>
    <row r="30" spans="1:3" x14ac:dyDescent="0.35">
      <c r="A30" s="8">
        <v>44286</v>
      </c>
      <c r="B30" s="10">
        <f>(1+'Stage 2'!B30/100)^(1/12)-1</f>
        <v>9.9819948160719818E-3</v>
      </c>
      <c r="C30" s="10">
        <f>(1+'Stage 2'!C30/100)^(1/12)-1</f>
        <v>8.0286464528573909E-3</v>
      </c>
    </row>
    <row r="31" spans="1:3" x14ac:dyDescent="0.35">
      <c r="A31" s="8">
        <v>44316</v>
      </c>
      <c r="B31" s="10">
        <f>(1+'Stage 2'!B31/100)^(1/12)-1</f>
        <v>1.1383533793337675E-2</v>
      </c>
      <c r="C31" s="10">
        <f>(1+'Stage 2'!C31/100)^(1/12)-1</f>
        <v>9.3978638653484659E-3</v>
      </c>
    </row>
    <row r="32" spans="1:3" x14ac:dyDescent="0.35">
      <c r="A32" s="8">
        <v>44347</v>
      </c>
      <c r="B32" s="10">
        <f>(1+'Stage 2'!B32/100)^(1/12)-1</f>
        <v>1.1573167651412142E-2</v>
      </c>
      <c r="C32" s="10">
        <f>(1+'Stage 2'!C32/100)^(1/12)-1</f>
        <v>8.9825796204865416E-3</v>
      </c>
    </row>
    <row r="33" spans="1:3" x14ac:dyDescent="0.35">
      <c r="A33" s="8">
        <v>44377</v>
      </c>
      <c r="B33" s="10">
        <f>(1+'Stage 2'!B33/100)^(1/12)-1</f>
        <v>1.1665344194143223E-2</v>
      </c>
      <c r="C33" s="10">
        <f>(1+'Stage 2'!C33/100)^(1/12)-1</f>
        <v>9.4238742698824485E-3</v>
      </c>
    </row>
    <row r="34" spans="1:3" x14ac:dyDescent="0.35">
      <c r="A34" s="8">
        <v>44408</v>
      </c>
      <c r="B34" s="10">
        <f>(1+'Stage 2'!B34/100)^(1/12)-1</f>
        <v>1.2822430456932654E-2</v>
      </c>
      <c r="C34" s="10">
        <f>(1+'Stage 2'!C34/100)^(1/12)-1</f>
        <v>1.0534144147532398E-2</v>
      </c>
    </row>
    <row r="35" spans="1:3" x14ac:dyDescent="0.35">
      <c r="A35" s="8">
        <v>44439</v>
      </c>
      <c r="B35" s="10">
        <f>(1+'Stage 2'!B35/100)^(1/12)-1</f>
        <v>1.2803522812239621E-2</v>
      </c>
      <c r="C35" s="10">
        <f>(1+'Stage 2'!C35/100)^(1/12)-1</f>
        <v>9.8595410100186243E-3</v>
      </c>
    </row>
    <row r="36" spans="1:3" x14ac:dyDescent="0.35">
      <c r="A36" s="8">
        <v>44469</v>
      </c>
      <c r="B36" s="10">
        <f>(1+'Stage 2'!B36/100)^(1/12)-1</f>
        <v>1.2155203850449103E-2</v>
      </c>
      <c r="C36" s="10">
        <f>(1+'Stage 2'!C36/100)^(1/12)-1</f>
        <v>9.7159470182932584E-3</v>
      </c>
    </row>
    <row r="37" spans="1:3" x14ac:dyDescent="0.35">
      <c r="A37" s="8">
        <v>44500</v>
      </c>
      <c r="B37" s="10">
        <f>(1+'Stage 2'!B37/100)^(1/12)-1</f>
        <v>1.2637969514160519E-2</v>
      </c>
      <c r="C37" s="10">
        <f>(1+'Stage 2'!C37/100)^(1/12)-1</f>
        <v>1.0699225345905949E-2</v>
      </c>
    </row>
    <row r="38" spans="1:3" x14ac:dyDescent="0.35">
      <c r="A38" s="8">
        <v>44530</v>
      </c>
      <c r="B38" s="10">
        <f>(1+'Stage 2'!B38/100)^(1/12)-1</f>
        <v>1.2578506539643985E-2</v>
      </c>
      <c r="C38" s="10">
        <f>(1+'Stage 2'!C38/100)^(1/12)-1</f>
        <v>1.0588338320951962E-2</v>
      </c>
    </row>
    <row r="39" spans="1:3" x14ac:dyDescent="0.35">
      <c r="A39" s="8">
        <v>44561</v>
      </c>
      <c r="B39" s="10">
        <f>(1+'Stage 2'!B39/100)^(1/12)-1</f>
        <v>1.3650906152506526E-2</v>
      </c>
      <c r="C39" s="10">
        <f>(1+'Stage 2'!C39/100)^(1/12)-1</f>
        <v>1.1544233351021616E-2</v>
      </c>
    </row>
    <row r="40" spans="1:3" x14ac:dyDescent="0.35">
      <c r="A40" s="8">
        <v>44592</v>
      </c>
      <c r="B40" s="10">
        <f>(1+'Stage 2'!B40/100)^(1/12)-1</f>
        <v>1.2956483644101402E-2</v>
      </c>
      <c r="C40" s="10">
        <f>(1+'Stage 2'!C40/100)^(1/12)-1</f>
        <v>1.0777544389915183E-2</v>
      </c>
    </row>
    <row r="41" spans="1:3" x14ac:dyDescent="0.35">
      <c r="A41" s="8">
        <v>44620</v>
      </c>
      <c r="B41" s="10">
        <f>(1+'Stage 2'!B41/100)^(1/12)-1</f>
        <v>1.3273683635824929E-2</v>
      </c>
      <c r="C41" s="10">
        <f>(1+'Stage 2'!C41/100)^(1/12)-1</f>
        <v>1.0636195626559708E-2</v>
      </c>
    </row>
    <row r="42" spans="1:3" x14ac:dyDescent="0.35">
      <c r="A42" s="8">
        <v>44651</v>
      </c>
      <c r="B42" s="10">
        <f>(1+'Stage 2'!B42/100)^(1/12)-1</f>
        <v>1.2672511551109267E-2</v>
      </c>
      <c r="C42" s="10">
        <f>(1+'Stage 2'!C42/100)^(1/12)-1</f>
        <v>1.4127629386856855E-2</v>
      </c>
    </row>
    <row r="43" spans="1:3" x14ac:dyDescent="0.35">
      <c r="A43" s="8">
        <v>44681</v>
      </c>
      <c r="B43" s="10">
        <f>(1+'Stage 2'!B43/100)^(1/12)-1</f>
        <v>1.5256010258077435E-2</v>
      </c>
      <c r="C43" s="10">
        <f>(1+'Stage 2'!C43/100)^(1/12)-1</f>
        <v>9.8925254124979656E-3</v>
      </c>
    </row>
    <row r="44" spans="1:3" x14ac:dyDescent="0.35">
      <c r="A44" s="8">
        <v>44712</v>
      </c>
      <c r="B44" s="10">
        <f>(1+'Stage 2'!B44/100)^(1/12)-1</f>
        <v>1.8832135800302519E-2</v>
      </c>
      <c r="C44" s="10">
        <f>(1+'Stage 2'!C44/100)^(1/12)-1</f>
        <v>9.0980621875993428E-3</v>
      </c>
    </row>
    <row r="45" spans="1:3" x14ac:dyDescent="0.35">
      <c r="A45" s="8">
        <v>44742</v>
      </c>
      <c r="B45" s="10">
        <f>(1+'Stage 2'!B45/100)^(1/12)-1</f>
        <v>1.7888609037834291E-2</v>
      </c>
      <c r="C45" s="10">
        <f>(1+'Stage 2'!C45/100)^(1/12)-1</f>
        <v>9.7632125913715839E-3</v>
      </c>
    </row>
    <row r="46" spans="1:3" x14ac:dyDescent="0.35">
      <c r="A46" s="8">
        <v>44773</v>
      </c>
      <c r="B46" s="10">
        <f>(1+'Stage 2'!B46/100)^(1/12)-1</f>
        <v>1.6832220121012931E-2</v>
      </c>
      <c r="C46" s="10">
        <f>(1+'Stage 2'!C46/100)^(1/12)-1</f>
        <v>8.5995420914042331E-3</v>
      </c>
    </row>
    <row r="47" spans="1:3" x14ac:dyDescent="0.35">
      <c r="A47" s="8">
        <v>44804</v>
      </c>
      <c r="B47" s="10">
        <f>(1+'Stage 2'!B47/100)^(1/12)-1</f>
        <v>1.5681985114285757E-2</v>
      </c>
      <c r="C47" s="10">
        <f>(1+'Stage 2'!C47/100)^(1/12)-1</f>
        <v>9.4748963894304428E-3</v>
      </c>
    </row>
    <row r="48" spans="1:3" x14ac:dyDescent="0.35">
      <c r="A48" s="8">
        <v>44834</v>
      </c>
      <c r="B48" s="10">
        <f>(1+'Stage 2'!B48/100)^(1/12)-1</f>
        <v>1.6372086644835582E-2</v>
      </c>
      <c r="C48" s="10">
        <f>(1+'Stage 2'!C48/100)^(1/12)-1</f>
        <v>9.8549027967778091E-3</v>
      </c>
    </row>
    <row r="49" spans="1:3" x14ac:dyDescent="0.35">
      <c r="A49" s="8">
        <v>44865</v>
      </c>
      <c r="B49" s="10">
        <f>(1+'Stage 2'!B49/100)^(1/12)-1</f>
        <v>1.406326044273043E-2</v>
      </c>
      <c r="C49" s="10">
        <f>(1+'Stage 2'!C49/100)^(1/12)-1</f>
        <v>1.0116520563429043E-2</v>
      </c>
    </row>
    <row r="50" spans="1:3" x14ac:dyDescent="0.35">
      <c r="A50" s="8">
        <v>44895</v>
      </c>
      <c r="B50" s="10">
        <f>(1+'Stage 2'!B50/100)^(1/12)-1</f>
        <v>1.3623407603178705E-2</v>
      </c>
      <c r="C50" s="10">
        <f>(1+'Stage 2'!C50/100)^(1/12)-1</f>
        <v>9.6581615738882132E-3</v>
      </c>
    </row>
    <row r="51" spans="1:3" x14ac:dyDescent="0.35">
      <c r="A51" s="8">
        <v>44926</v>
      </c>
      <c r="B51" s="10">
        <f>(1+'Stage 2'!B51/100)^(1/12)-1</f>
        <v>1.2658362493890296E-2</v>
      </c>
      <c r="C51" s="10">
        <f>(1+'Stage 2'!C51/100)^(1/12)-1</f>
        <v>9.5845092395150377E-3</v>
      </c>
    </row>
    <row r="52" spans="1:3" x14ac:dyDescent="0.35">
      <c r="A52" s="8">
        <v>44957</v>
      </c>
      <c r="B52" s="10">
        <f>(1+'Stage 2'!B52/100)^(1/12)-1</f>
        <v>1.1605102311022852E-2</v>
      </c>
      <c r="C52" s="10">
        <f>(1+'Stage 2'!C52/100)^(1/12)-1</f>
        <v>9.1994612432095835E-3</v>
      </c>
    </row>
    <row r="53" spans="1:3" x14ac:dyDescent="0.35">
      <c r="A53" s="8">
        <v>44985</v>
      </c>
      <c r="B53" s="10">
        <f>(1+'Stage 2'!B53/100)^(1/12)-1</f>
        <v>1.1724740293707958E-2</v>
      </c>
      <c r="C53" s="10">
        <f>(1+'Stage 2'!C53/100)^(1/12)-1</f>
        <v>9.6085164925951982E-3</v>
      </c>
    </row>
    <row r="54" spans="1:3" x14ac:dyDescent="0.35">
      <c r="A54" s="8">
        <v>45016</v>
      </c>
      <c r="B54" s="10">
        <f>(1+'Stage 2'!B54/100)^(1/12)-1</f>
        <v>1.118348023838589E-2</v>
      </c>
      <c r="C54" s="10">
        <f>(1+'Stage 2'!C54/100)^(1/12)-1</f>
        <v>8.5171401800734348E-3</v>
      </c>
    </row>
    <row r="55" spans="1:3" x14ac:dyDescent="0.35">
      <c r="A55" s="8">
        <v>45046</v>
      </c>
      <c r="B55" s="10">
        <f>(1+'Stage 2'!B55/100)^(1/12)-1</f>
        <v>1.1635485001611823E-2</v>
      </c>
      <c r="C55" s="10">
        <f>(1+'Stage 2'!C55/100)^(1/12)-1</f>
        <v>8.2442151360242466E-3</v>
      </c>
    </row>
    <row r="56" spans="1:3" x14ac:dyDescent="0.35">
      <c r="A56" s="8">
        <v>45077</v>
      </c>
      <c r="B56" s="10">
        <f>(1+'Stage 2'!B56/100)^(1/12)-1</f>
        <v>1.1062692426549781E-2</v>
      </c>
      <c r="C56" s="10">
        <f>(1+'Stage 2'!C56/100)^(1/12)-1</f>
        <v>8.5870272340700105E-3</v>
      </c>
    </row>
    <row r="57" spans="1:3" x14ac:dyDescent="0.35">
      <c r="A57" s="8">
        <v>45107</v>
      </c>
      <c r="B57" s="10">
        <f>(1+'Stage 2'!B57/100)^(1/12)-1</f>
        <v>1.0882359251242812E-2</v>
      </c>
      <c r="C57" s="10">
        <f>(1+'Stage 2'!C57/100)^(1/12)-1</f>
        <v>8.1196465669313156E-3</v>
      </c>
    </row>
    <row r="58" spans="1:3" x14ac:dyDescent="0.35">
      <c r="A58" s="8">
        <v>45138</v>
      </c>
      <c r="B58" s="10">
        <f>(1+'Stage 2'!B58/100)^(1/12)-1</f>
        <v>1.0837590692423404E-2</v>
      </c>
      <c r="C58" s="10">
        <f>(1+'Stage 2'!C58/100)^(1/12)-1</f>
        <v>8.7789613527606836E-3</v>
      </c>
    </row>
    <row r="59" spans="1:3" x14ac:dyDescent="0.35">
      <c r="A59" s="8">
        <v>45169</v>
      </c>
      <c r="B59" s="10">
        <f>(1+'Stage 2'!B59/100)^(1/12)-1</f>
        <v>1.0579877227390178E-2</v>
      </c>
      <c r="C59" s="10">
        <f>(1+'Stage 2'!C59/100)^(1/12)-1</f>
        <v>9.1270986468396931E-3</v>
      </c>
    </row>
    <row r="60" spans="1:3" x14ac:dyDescent="0.35">
      <c r="A60" s="8">
        <v>45199</v>
      </c>
      <c r="B60" s="10">
        <f>(1+'Stage 2'!B60/100)^(1/12)-1</f>
        <v>1.0796502824841347E-2</v>
      </c>
      <c r="C60" s="10">
        <f>(1+'Stage 2'!C60/100)^(1/12)-1</f>
        <v>9.2788436679360764E-3</v>
      </c>
    </row>
    <row r="61" spans="1:3" x14ac:dyDescent="0.35">
      <c r="A61" s="8">
        <v>45230</v>
      </c>
      <c r="B61" s="10">
        <f>(1+'Stage 2'!B61/100)^(1/12)-1</f>
        <v>1.0875626861365228E-2</v>
      </c>
      <c r="C61" s="10">
        <f>(1+'Stage 2'!C61/100)^(1/12)-1</f>
        <v>8.8594646329462901E-3</v>
      </c>
    </row>
    <row r="62" spans="1:3" x14ac:dyDescent="0.35">
      <c r="A62" s="8">
        <v>45260</v>
      </c>
      <c r="B62" s="10">
        <f>(1+'Stage 2'!B62/100)^(1/12)-1</f>
        <v>1.18021176538321E-2</v>
      </c>
      <c r="C62" s="10">
        <f>(1+'Stage 2'!C62/100)^(1/12)-1</f>
        <v>9.6221678169312597E-3</v>
      </c>
    </row>
    <row r="63" spans="1:3" x14ac:dyDescent="0.35">
      <c r="A63" s="8">
        <v>45291</v>
      </c>
      <c r="B63" s="10">
        <f>(1+'Stage 2'!B63/100)^(1/12)-1</f>
        <v>1.3198543980936117E-2</v>
      </c>
      <c r="C63" s="10">
        <f>(1+'Stage 2'!C63/100)^(1/12)-1</f>
        <v>1.1157742205377685E-2</v>
      </c>
    </row>
    <row r="64" spans="1:3" x14ac:dyDescent="0.35">
      <c r="A64" s="8">
        <v>45322</v>
      </c>
      <c r="B64" s="10">
        <f>(1+'Stage 2'!B64/100)^(1/12)-1</f>
        <v>1.2689922790666275E-2</v>
      </c>
      <c r="C64" s="10">
        <f>(1+'Stage 2'!C64/100)^(1/12)-1</f>
        <v>1.0024792691323503E-2</v>
      </c>
    </row>
    <row r="65" spans="1:3" x14ac:dyDescent="0.35">
      <c r="A65" s="8">
        <v>45351</v>
      </c>
      <c r="B65" s="10">
        <f>(1+'Stage 2'!B65/100)^(1/12)-1</f>
        <v>1.1854398440694691E-2</v>
      </c>
      <c r="C65" s="10">
        <f>(1+'Stage 2'!C65/100)^(1/12)-1</f>
        <v>9.4125238150228885E-3</v>
      </c>
    </row>
    <row r="66" spans="1:3" x14ac:dyDescent="0.35">
      <c r="A66" s="8">
        <v>45382</v>
      </c>
      <c r="B66" s="10">
        <f>(1+'Stage 2'!B66/100)^(1/12)-1</f>
        <v>1.1604808709491987E-2</v>
      </c>
      <c r="C66" s="10">
        <f>(1+'Stage 2'!C66/100)^(1/12)-1</f>
        <v>9.0867467930073609E-3</v>
      </c>
    </row>
    <row r="67" spans="1:3" x14ac:dyDescent="0.35">
      <c r="A67" s="8">
        <v>45412</v>
      </c>
      <c r="B67" s="10">
        <f>(1+'Stage 2'!B67/100)^(1/12)-1</f>
        <v>1.1275974407040978E-2</v>
      </c>
      <c r="C67" s="10">
        <f>(1+'Stage 2'!C67/100)^(1/12)-1</f>
        <v>8.7109627615222784E-3</v>
      </c>
    </row>
    <row r="68" spans="1:3" x14ac:dyDescent="0.35">
      <c r="A68" s="8">
        <v>45443</v>
      </c>
      <c r="B68" s="10">
        <f>(1+'Stage 2'!B68/100)^(1/12)-1</f>
        <v>1.100183258734555E-2</v>
      </c>
      <c r="C68" s="10">
        <f>(1+'Stage 2'!C68/100)^(1/12)-1</f>
        <v>9.26860463294088E-3</v>
      </c>
    </row>
    <row r="69" spans="1:3" x14ac:dyDescent="0.35">
      <c r="A69" s="8">
        <v>45473</v>
      </c>
      <c r="B69" s="10">
        <f>(1+'Stage 2'!B69/100)^(1/12)-1</f>
        <v>1.1289895748667123E-2</v>
      </c>
      <c r="C69" s="10">
        <f>(1+'Stage 2'!C69/100)^(1/12)-1</f>
        <v>9.4233481208876313E-3</v>
      </c>
    </row>
    <row r="70" spans="1:3" x14ac:dyDescent="0.35">
      <c r="A70" s="8">
        <v>45504</v>
      </c>
      <c r="B70" s="10">
        <f>(1+'Stage 2'!B70/100)^(1/12)-1</f>
        <v>1.1157889721801428E-2</v>
      </c>
      <c r="C70" s="10">
        <f>(1+'Stage 2'!C70/100)^(1/12)-1</f>
        <v>9.7994505230616369E-3</v>
      </c>
    </row>
    <row r="71" spans="1:3" x14ac:dyDescent="0.35">
      <c r="A71" s="8">
        <v>45535</v>
      </c>
      <c r="B71" s="10">
        <f>(1+'Stage 2'!B71/100)^(1/12)-1</f>
        <v>1.168668720803856E-2</v>
      </c>
      <c r="C71" s="10">
        <f>(1+'Stage 2'!C71/100)^(1/12)-1</f>
        <v>1.0154036155855417E-2</v>
      </c>
    </row>
    <row r="72" spans="1:3" x14ac:dyDescent="0.35">
      <c r="A72" s="8">
        <v>45565</v>
      </c>
      <c r="B72" s="10">
        <f>(1+'Stage 2'!B72/100)^(1/12)-1</f>
        <v>1.126595562931354E-2</v>
      </c>
      <c r="C72" s="10">
        <f>(1+'Stage 2'!C72/100)^(1/12)-1</f>
        <v>9.878914238089509E-3</v>
      </c>
    </row>
    <row r="73" spans="1:3" x14ac:dyDescent="0.35">
      <c r="A73" s="8">
        <v>45596</v>
      </c>
      <c r="B73" s="10">
        <f>(1+'Stage 2'!B73/100)^(1/12)-1</f>
        <v>1.1923255355891227E-2</v>
      </c>
      <c r="C73" s="10">
        <f>(1+'Stage 2'!C73/100)^(1/12)-1</f>
        <v>1.0543797504693808E-2</v>
      </c>
    </row>
    <row r="74" spans="1:3" x14ac:dyDescent="0.35">
      <c r="A74" s="8">
        <v>45626</v>
      </c>
      <c r="B74" s="10">
        <f>(1+'Stage 2'!B74/100)^(1/12)-1</f>
        <v>1.1931520574481658E-2</v>
      </c>
      <c r="C74" s="10">
        <f>(1+'Stage 2'!C74/100)^(1/12)-1</f>
        <v>1.0509634914985577E-2</v>
      </c>
    </row>
    <row r="75" spans="1:3" x14ac:dyDescent="0.35">
      <c r="A75" s="8">
        <v>45657</v>
      </c>
      <c r="B75" s="10">
        <f>(1+'Stage 2'!B75/100)^(1/12)-1</f>
        <v>1.233830370713318E-2</v>
      </c>
      <c r="C75" s="10">
        <f>(1+'Stage 2'!C75/100)^(1/12)-1</f>
        <v>1.0935387319862544E-2</v>
      </c>
    </row>
    <row r="76" spans="1:3" x14ac:dyDescent="0.35">
      <c r="A76" s="8">
        <v>45688</v>
      </c>
      <c r="B76" s="10">
        <f>(1+'Stage 2'!B76/100)^(1/12)-1</f>
        <v>1.2769102381253949E-2</v>
      </c>
      <c r="C76" s="10">
        <f>(1+'Stage 2'!C76/100)^(1/12)-1</f>
        <v>1.100323636287448E-2</v>
      </c>
    </row>
    <row r="77" spans="1:3" x14ac:dyDescent="0.35">
      <c r="A77" s="8">
        <v>45716</v>
      </c>
      <c r="B77" s="10">
        <f>(1+'Stage 2'!B77/100)^(1/12)-1</f>
        <v>1.2812071576939976E-2</v>
      </c>
      <c r="C77" s="10">
        <f>(1+'Stage 2'!C77/100)^(1/12)-1</f>
        <v>1.0768508134383348E-2</v>
      </c>
    </row>
    <row r="78" spans="1:3" x14ac:dyDescent="0.35">
      <c r="A78" s="8">
        <v>45747</v>
      </c>
      <c r="B78" s="10">
        <f>(1+'Stage 2'!B78/100)^(1/12)-1</f>
        <v>1.281902591865447E-2</v>
      </c>
      <c r="C78" s="10">
        <f>(1+'Stage 2'!C78/100)^(1/12)-1</f>
        <v>1.018184597647287E-2</v>
      </c>
    </row>
    <row r="79" spans="1:3" x14ac:dyDescent="0.35">
      <c r="A79" s="8">
        <v>45777</v>
      </c>
      <c r="B79" s="10">
        <f>(1+'Stage 2'!B79/100)^(1/12)-1</f>
        <v>1.2340124129248231E-2</v>
      </c>
      <c r="C79" s="10">
        <f>(1+'Stage 2'!C79/100)^(1/12)-1</f>
        <v>1.0312729764802908E-2</v>
      </c>
    </row>
    <row r="80" spans="1:3" x14ac:dyDescent="0.35">
      <c r="A80" s="8">
        <v>45808</v>
      </c>
      <c r="B80" s="10">
        <f>(1+'Stage 2'!B80/100)^(1/12)-1</f>
        <v>1.2109517899966615E-2</v>
      </c>
      <c r="C80" s="10">
        <f>(1+'Stage 2'!C80/100)^(1/12)-1</f>
        <v>1.0534366928747652E-2</v>
      </c>
    </row>
    <row r="81" spans="1:3" x14ac:dyDescent="0.35">
      <c r="A81" s="8">
        <v>45838</v>
      </c>
      <c r="B81" s="10">
        <f>(1+'Stage 2'!B81/100)^(1/12)-1</f>
        <v>1.2194303515182359E-2</v>
      </c>
      <c r="C81" s="10">
        <f>(1+'Stage 2'!C81/100)^(1/12)-1</f>
        <v>1.0273864013519374E-2</v>
      </c>
    </row>
    <row r="82" spans="1:3" x14ac:dyDescent="0.35">
      <c r="A82" s="8">
        <v>45869</v>
      </c>
      <c r="B82" s="10">
        <f>(1+'Stage 2'!B82/100)^(1/12)-1</f>
        <v>1.1718802409562468E-2</v>
      </c>
      <c r="C82" s="10">
        <f>(1+'Stage 2'!C82/100)^(1/12)-1</f>
        <v>1.027252352181085E-2</v>
      </c>
    </row>
    <row r="83" spans="1:3" x14ac:dyDescent="0.35">
      <c r="A83" s="8">
        <v>45900</v>
      </c>
      <c r="B83" s="10">
        <f>(1+'Stage 2'!B83/100)^(1/12)-1</f>
        <v>1.2506576902573396E-2</v>
      </c>
      <c r="C83" s="10">
        <f>(1+'Stage 2'!C83/100)^(1/12)-1</f>
        <v>1.0596576005474034E-2</v>
      </c>
    </row>
    <row r="84" spans="1:3" x14ac:dyDescent="0.35">
      <c r="A84" s="8">
        <v>45930</v>
      </c>
      <c r="B84" s="10">
        <f>(1+'Stage 2'!B84/100)^(1/12)-1</f>
        <v>1.1496332217131311E-2</v>
      </c>
      <c r="C84" s="10">
        <f>(1+'Stage 2'!C84/100)^(1/12)-1</f>
        <v>9.9399991532707066E-3</v>
      </c>
    </row>
    <row r="85" spans="1:3" x14ac:dyDescent="0.35">
      <c r="A85" s="8">
        <v>45961</v>
      </c>
      <c r="B85" s="10">
        <f>(1+'Stage 2'!B85/100)^(1/12)-1</f>
        <v>1.1043419580506475E-2</v>
      </c>
      <c r="C85" s="10">
        <f>(1+'Stage 2'!C85/100)^(1/12)-1</f>
        <v>9.9429888034321401E-3</v>
      </c>
    </row>
    <row r="86" spans="1:3" x14ac:dyDescent="0.35">
      <c r="A86" s="8">
        <v>45991</v>
      </c>
      <c r="B86" s="10">
        <f>(1+'Stage 2'!B86/100)^(1/12)-1</f>
        <v>1.1340996251717916E-2</v>
      </c>
      <c r="C86" s="10">
        <f>(1+'Stage 2'!C86/100)^(1/12)-1</f>
        <v>1.0437183048790155E-2</v>
      </c>
    </row>
    <row r="87" spans="1:3" x14ac:dyDescent="0.35">
      <c r="A87" s="8">
        <v>46022</v>
      </c>
      <c r="B87" s="10">
        <f>(1+'Stage 2'!B87/100)^(1/12)-1</f>
        <v>1.1375292761833355E-2</v>
      </c>
      <c r="C87" s="10">
        <f>(1+'Stage 2'!C87/100)^(1/12)-1</f>
        <v>1.0752729590653765E-2</v>
      </c>
    </row>
    <row r="88" spans="1:3" x14ac:dyDescent="0.35">
      <c r="A88" s="8">
        <v>46053</v>
      </c>
      <c r="B88" s="10">
        <f>(1+'Stage 2'!B88/100)^(1/12)-1</f>
        <v>1.1347621038123146E-2</v>
      </c>
      <c r="C88" s="10">
        <f>(1+'Stage 2'!C88/100)^(1/12)-1</f>
        <v>1.072946425991339E-2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Stage 1</vt:lpstr>
      <vt:lpstr>Stage 2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Гладков</dc:creator>
  <cp:lastModifiedBy>Гладков Александр Евгеньевич</cp:lastModifiedBy>
  <dcterms:created xsi:type="dcterms:W3CDTF">2015-06-05T18:19:34Z</dcterms:created>
  <dcterms:modified xsi:type="dcterms:W3CDTF">2026-02-23T17:09:26Z</dcterms:modified>
</cp:coreProperties>
</file>